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F:\5. ESTAGIÁRIOS\9. PASTA - GIOVANNI\2. PROCESSOS PRESCRITOS ABRIL\"/>
    </mc:Choice>
  </mc:AlternateContent>
  <xr:revisionPtr revIDLastSave="0" documentId="13_ncr:1_{FD4B412D-E68B-4601-BD70-03325F298382}" xr6:coauthVersionLast="47" xr6:coauthVersionMax="47" xr10:uidLastSave="{00000000-0000-0000-0000-000000000000}"/>
  <bookViews>
    <workbookView xWindow="-105" yWindow="0" windowWidth="14610" windowHeight="15585" xr2:uid="{00000000-000D-0000-FFFF-FFFF00000000}"/>
  </bookViews>
  <sheets>
    <sheet name="PROCESSOS TRA" sheetId="1" r:id="rId1"/>
    <sheet name="Commen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2" i="1"/>
</calcChain>
</file>

<file path=xl/sharedStrings.xml><?xml version="1.0" encoding="utf-8"?>
<sst xmlns="http://schemas.openxmlformats.org/spreadsheetml/2006/main" count="4768" uniqueCount="1820">
  <si>
    <t>2017/0000021563</t>
  </si>
  <si>
    <t>Pautado</t>
  </si>
  <si>
    <t>ESTALEIRO RIO MAGUARI S.A</t>
  </si>
  <si>
    <t>04.Abril</t>
  </si>
  <si>
    <t>2018/0000044456</t>
  </si>
  <si>
    <t>IRINEU BERTOLINI E CIA LTDA</t>
  </si>
  <si>
    <t>2018/0000021498</t>
  </si>
  <si>
    <t>M S TERRAPLENAGEM LTDA</t>
  </si>
  <si>
    <t>2018/0000018732</t>
  </si>
  <si>
    <t>MAX DOMINI SERVIÇOS POSTUMOS LTDA</t>
  </si>
  <si>
    <t>2018/0000038632</t>
  </si>
  <si>
    <t>CHESTHER GOMES PEDRO</t>
  </si>
  <si>
    <t>2018/0000047218</t>
  </si>
  <si>
    <t>JEG BATISTA</t>
  </si>
  <si>
    <t>2022/0000038271</t>
  </si>
  <si>
    <t>OURILANDIA DO NORTE TRANSMISSORA DE ENERGIA</t>
  </si>
  <si>
    <t>2024/0000012899</t>
  </si>
  <si>
    <t>PATAUA ECO IND DE BENEF DE RESIDUOS DE MADEIRAS LTDA</t>
  </si>
  <si>
    <t>2017/0000033582</t>
  </si>
  <si>
    <t>RAIMUNDO DE JESUS PINHO DE OLIVEIRA</t>
  </si>
  <si>
    <t>2017/0000034222</t>
  </si>
  <si>
    <t>R E M COM. SERV. DE RESTAURANTE E HOTELARIA LTDA</t>
  </si>
  <si>
    <t>2017/0000013847</t>
  </si>
  <si>
    <t>2017/0000017801</t>
  </si>
  <si>
    <t>2017/0000033729</t>
  </si>
  <si>
    <t>CONDOMÍNIO RESIDENCIAL CASTANHEIRA</t>
  </si>
  <si>
    <t>2018/0000004537</t>
  </si>
  <si>
    <t>ETR CONSTRUTORA E INCORPORADORA LTDA</t>
  </si>
  <si>
    <t>2018/0000024476</t>
  </si>
  <si>
    <t>2018/0000026990</t>
  </si>
  <si>
    <t>CASFRISA FRIGORÍFICO INDUSTRIAL DE CASTANHAL LTDA</t>
  </si>
  <si>
    <t>2018/0000029238</t>
  </si>
  <si>
    <t>GUASCOR DO BRASIL LTDA</t>
  </si>
  <si>
    <t>2019/0000042141</t>
  </si>
  <si>
    <t>2019/0000042142</t>
  </si>
  <si>
    <t>2019/0000042144</t>
  </si>
  <si>
    <t>2019/0000042151</t>
  </si>
  <si>
    <t>2020/0000034455</t>
  </si>
  <si>
    <t>ELDORADO DO XINGU</t>
  </si>
  <si>
    <t>processo retirado de pauta com suspensão do do termo de embargo até a próxima plenária</t>
  </si>
  <si>
    <t>2022/0000028301</t>
  </si>
  <si>
    <t>FAZENDA DOM PEDRITO (CLAUDIO ROBERTO VIAN)</t>
  </si>
  <si>
    <t>2024/0000010344</t>
  </si>
  <si>
    <t>Raudeyck de Oliveira Bessa</t>
  </si>
  <si>
    <t>2017/0000044636</t>
  </si>
  <si>
    <t>NOVA ERA INDUSTRIA COM EXPORTÇÃO DE MADEIRAS LTDA</t>
  </si>
  <si>
    <t>2017/0000017521</t>
  </si>
  <si>
    <t>2017/0000027780</t>
  </si>
  <si>
    <t>2018/0000009776</t>
  </si>
  <si>
    <t>2017/0000036468</t>
  </si>
  <si>
    <t>CLAUDEVAL DO NASCIMENTO LIMA</t>
  </si>
  <si>
    <t>2017/0000036475</t>
  </si>
  <si>
    <t>2017/0000036492</t>
  </si>
  <si>
    <t>2017/0000017369</t>
  </si>
  <si>
    <t>2017/0000035992</t>
  </si>
  <si>
    <t>2019/0000047692</t>
  </si>
  <si>
    <t>ANDRÉ LUIS BRANCO</t>
  </si>
  <si>
    <t>2019/0000013783</t>
  </si>
  <si>
    <t>Crisionel Campelo Costa</t>
  </si>
  <si>
    <t>2019/0000042138</t>
  </si>
  <si>
    <t>2021/0000041509</t>
  </si>
  <si>
    <t>IMERYS RIO CAPIM CAULIM S.A.</t>
  </si>
  <si>
    <t>2020/0000033998</t>
  </si>
  <si>
    <t>SERGIO OLIVEIRA GONÇALVES</t>
  </si>
  <si>
    <t>Manter o auto</t>
  </si>
  <si>
    <t>7.501 UPF's</t>
  </si>
  <si>
    <t>#INVALID OPERATION</t>
  </si>
  <si>
    <t>2020/0000036205</t>
  </si>
  <si>
    <t>ANDRE LUIZ MARAFÃO</t>
  </si>
  <si>
    <t>Diminuir o auto</t>
  </si>
  <si>
    <t>14.580 UPF's</t>
  </si>
  <si>
    <t>2020/0000025278</t>
  </si>
  <si>
    <t>Encaminhado</t>
  </si>
  <si>
    <t>RUSO LUIZ BEZERRA COLARES</t>
  </si>
  <si>
    <t>Cancelamento da penalidade de multa</t>
  </si>
  <si>
    <t>Manutençãodo Termo de Embargo</t>
  </si>
  <si>
    <t>2020/0000034082</t>
  </si>
  <si>
    <t>Auto Nulo</t>
  </si>
  <si>
    <t>2020/0000026687</t>
  </si>
  <si>
    <t>JARI CELULOSE PAPEL</t>
  </si>
  <si>
    <t>Manutenção do Termo de Embargo</t>
  </si>
  <si>
    <t>2024/0000010329</t>
  </si>
  <si>
    <t>VALDEMAR LIMPER</t>
  </si>
  <si>
    <t>2021/0000003079</t>
  </si>
  <si>
    <t>4.000 UPF's</t>
  </si>
  <si>
    <t>Cancelamento do Termo de Embargo</t>
  </si>
  <si>
    <t>2021/0000041404</t>
  </si>
  <si>
    <t>CÍCERO LUIZ BREHN DAVILA</t>
  </si>
  <si>
    <t>2021/0000034355</t>
  </si>
  <si>
    <t>ATAIDES DE SOUZA PINTO</t>
  </si>
  <si>
    <t>1.050 UPF's</t>
  </si>
  <si>
    <t>2021/0000041370</t>
  </si>
  <si>
    <t>NAYMA CARLA PINHEIRO DE MACEDO</t>
  </si>
  <si>
    <t>Manutenção do Termo de Embargo e o encaminhamento dos autos à DIFISC para identificação do real infrator</t>
  </si>
  <si>
    <t>2023/0000052384</t>
  </si>
  <si>
    <t>DANILO FREITAS SILVA</t>
  </si>
  <si>
    <t>2023/0000058494</t>
  </si>
  <si>
    <t>JOÃO AFONSO REMPEL</t>
  </si>
  <si>
    <t>2023/0000049387</t>
  </si>
  <si>
    <t>FRANCISCO DE ASSIS SILVA DE LIMA</t>
  </si>
  <si>
    <t>2023/0000059112</t>
  </si>
  <si>
    <t>Majorar</t>
  </si>
  <si>
    <t>2024/0000031387</t>
  </si>
  <si>
    <t>JOSIVALDO SILVA DO NASCIMENTO</t>
  </si>
  <si>
    <t>2024/0000016148</t>
  </si>
  <si>
    <t>JOACELE CARDOSO DA SILVA</t>
  </si>
  <si>
    <t>2024/0000024461</t>
  </si>
  <si>
    <t>FABRICIO RENTE DOS SANTOS</t>
  </si>
  <si>
    <t>2024/0000026330</t>
  </si>
  <si>
    <t>MILANES LIMA DE OLIVEIRA</t>
  </si>
  <si>
    <t>JACKSON DOUGLAS SANTANA FERREIRA</t>
  </si>
  <si>
    <t>2024/0000026532</t>
  </si>
  <si>
    <t>JOSÉ LUIZ DE OLIVEIRA</t>
  </si>
  <si>
    <t>2019/0000019316</t>
  </si>
  <si>
    <t>ANTONIO DE SOUSA</t>
  </si>
  <si>
    <t>12.600 UPF's</t>
  </si>
  <si>
    <t>Manutenção do Termo de Interdição</t>
  </si>
  <si>
    <t>2022/0000021951</t>
  </si>
  <si>
    <t>IDENOR TENORIO MAGALHÃES</t>
  </si>
  <si>
    <t>15.000 UPF's</t>
  </si>
  <si>
    <t>Manutenção do Termo de Apreensão e Depósito</t>
  </si>
  <si>
    <t>2022/0000004315</t>
  </si>
  <si>
    <t>Encaminhamento para o setor técnico</t>
  </si>
  <si>
    <t>Retorno dos autos a 1ª instância, para que seja realizada a devida analise de acordo com a infração cometida</t>
  </si>
  <si>
    <t>2023/0000011384</t>
  </si>
  <si>
    <t>DARLAN WESSLING</t>
  </si>
  <si>
    <t>Devolução dos Itens apreendidos</t>
  </si>
  <si>
    <t>2024/0000017736</t>
  </si>
  <si>
    <t>CIDADE TRANSPORTE</t>
  </si>
  <si>
    <t>2024/0000037015</t>
  </si>
  <si>
    <t>I S BARBOSA COMERCIO DE COMBUSTIVEL</t>
  </si>
  <si>
    <t>2024/0000014948</t>
  </si>
  <si>
    <t>JOSE RIBAMAR BARROS DA COSTA</t>
  </si>
  <si>
    <t>2017/0000032600</t>
  </si>
  <si>
    <t>2021/0000007795</t>
  </si>
  <si>
    <t>NICOLA SEBASTIÃO TANCREDI</t>
  </si>
  <si>
    <t>2022/0000017937</t>
  </si>
  <si>
    <t>PREFEITURA MUNICIPAL DE ORIXAMINÁ</t>
  </si>
  <si>
    <t>2.000 UPF's</t>
  </si>
  <si>
    <t>2023/0000029199</t>
  </si>
  <si>
    <t>JARI CELULOSE, PAPEL E EMBALAGENS S.A</t>
  </si>
  <si>
    <t>2024/0000026202</t>
  </si>
  <si>
    <t>LUPERCÍNIO RICHARD DE OLIVEIRA PEREIRA</t>
  </si>
  <si>
    <t>Manutenção do Termo de Notificação</t>
  </si>
  <si>
    <t>2020/0000027464</t>
  </si>
  <si>
    <t>MUNICÍPIO DE URUARÁ</t>
  </si>
  <si>
    <t>40.000 UPF's</t>
  </si>
  <si>
    <t>2024/0000014541</t>
  </si>
  <si>
    <t>2017/0000028231</t>
  </si>
  <si>
    <t>SAMUEL ZOPPE BRANDÃO FILHO</t>
  </si>
  <si>
    <t>Anulação da multa pecuniária</t>
  </si>
  <si>
    <t>Manter o termo de embargo da área até a adesão ao PRA</t>
  </si>
  <si>
    <t>03.Março</t>
  </si>
  <si>
    <t>2017/0000028232</t>
  </si>
  <si>
    <t>2020/0000036165</t>
  </si>
  <si>
    <t>José Valter Força</t>
  </si>
  <si>
    <t>Cancelamento do auto de infração</t>
  </si>
  <si>
    <t>2020/0000020012</t>
  </si>
  <si>
    <t>THALES BARROS DE LIMA</t>
  </si>
  <si>
    <t>Baixar em diligencia a CFISC</t>
  </si>
  <si>
    <t>Baixado em diligencia para a CFISC</t>
  </si>
  <si>
    <t>2020/0000035267</t>
  </si>
  <si>
    <t>LAERTI VINICIUS LUCREDI FRANCHETTI</t>
  </si>
  <si>
    <t>Manutenção do termo de embargo até a adesão ao PRA</t>
  </si>
  <si>
    <t>2021/0000030663</t>
  </si>
  <si>
    <t>José Carminati</t>
  </si>
  <si>
    <t>2021/0000002370</t>
  </si>
  <si>
    <t>2021/0000014081</t>
  </si>
  <si>
    <t>ELIZABETE APARECIDA LUCREDI</t>
  </si>
  <si>
    <t>Manutenção do termo de embargo</t>
  </si>
  <si>
    <t>2022/0000013807</t>
  </si>
  <si>
    <t>Magnu Serviços Agroflorestais</t>
  </si>
  <si>
    <t>Anulação da penalidade de multa aplicada e o perdimento do bem</t>
  </si>
  <si>
    <t>Perdimento do bem com a possibilidade de futura doação nos termos do Decreto Estadual nº204/2019</t>
  </si>
  <si>
    <t>2023/0000043207</t>
  </si>
  <si>
    <t>Marco Antonio Sivieiro</t>
  </si>
  <si>
    <t>2024/0000023825</t>
  </si>
  <si>
    <t>Wilson Ribeiro Pereira da Silva</t>
  </si>
  <si>
    <t>Manutenção do termo de embargo e perdimento do bem apreendido</t>
  </si>
  <si>
    <t>2024/0000024944</t>
  </si>
  <si>
    <t>2017/0000029977</t>
  </si>
  <si>
    <t>ALIANÇA COMÉRCIO E DISTRIBUIDORA DE GÊNEROS ALIMENTÍCIOS LTDA.</t>
  </si>
  <si>
    <t>2017/0000034518</t>
  </si>
  <si>
    <t>HOSPITAL SÃO PAULO SS LTDA</t>
  </si>
  <si>
    <t>2020/0000034923</t>
  </si>
  <si>
    <t>Ameta Engenharia</t>
  </si>
  <si>
    <t>2018/0000028103</t>
  </si>
  <si>
    <t>PAULO ROBERTO SHINTARO SASAMOTO</t>
  </si>
  <si>
    <t>2021/0000030677</t>
  </si>
  <si>
    <t>JOSÉ CARMINATI</t>
  </si>
  <si>
    <t>2019/0000041680</t>
  </si>
  <si>
    <t>Auto Posto Nazaré</t>
  </si>
  <si>
    <t>2019/0000006941</t>
  </si>
  <si>
    <t>2020/0000033275</t>
  </si>
  <si>
    <t>FLORAPLAC MDF LTDA</t>
  </si>
  <si>
    <t>2020/0000025472</t>
  </si>
  <si>
    <t>FRIGORÍFICO FORTEFRIGO LTDA</t>
  </si>
  <si>
    <t>2022/0000030570</t>
  </si>
  <si>
    <t>Amazon Pescado Eireli</t>
  </si>
  <si>
    <t>2022/0000038239</t>
  </si>
  <si>
    <t>Açaí Pará Indústria e Comércio Eireli</t>
  </si>
  <si>
    <t>2017/0000023709</t>
  </si>
  <si>
    <t>AUTO POSTO AURORA LTDA</t>
  </si>
  <si>
    <t>2018/0000028094</t>
  </si>
  <si>
    <t>Paulo Roberto Shintaro Sasamoto</t>
  </si>
  <si>
    <t>2018/0000028109</t>
  </si>
  <si>
    <t>2019/0000050407</t>
  </si>
  <si>
    <t>CONCREM WOOD AGROINDUSTRIAL LTDA</t>
  </si>
  <si>
    <t>2019/0000013388</t>
  </si>
  <si>
    <t>AUTO POSTO TABOCAS LTDA</t>
  </si>
  <si>
    <t>Cancelamento do auto</t>
  </si>
  <si>
    <t>2021/0000026917</t>
  </si>
  <si>
    <t>Mineração Paragominas</t>
  </si>
  <si>
    <t>2022/0000026667</t>
  </si>
  <si>
    <t>Casa do adubo</t>
  </si>
  <si>
    <t>2022/0000015503</t>
  </si>
  <si>
    <t>Wandrew Carvalho Dantas</t>
  </si>
  <si>
    <t>2023/0000016957</t>
  </si>
  <si>
    <t>Daniel Anversa</t>
  </si>
  <si>
    <t>2023/0000021917</t>
  </si>
  <si>
    <t>GEOMASTER GEOTECNOLOGIA AMBIENTAL LTDA.</t>
  </si>
  <si>
    <t>2024/0000004434</t>
  </si>
  <si>
    <t>Antônio Lopes de Ângelo</t>
  </si>
  <si>
    <t>Manutenção do termo de embargo e termo de apreensão</t>
  </si>
  <si>
    <t>2016/0000038269</t>
  </si>
  <si>
    <t>ERNANDES ALVES DA SILVA</t>
  </si>
  <si>
    <t>Oficiar o Detran para conhecimento sobre o perdimento do bem. Responder a defesa solicitando a entrega do bem.</t>
  </si>
  <si>
    <t>2017/0000012695</t>
  </si>
  <si>
    <t>2017/0000010761</t>
  </si>
  <si>
    <t>JKS IND. COMÉRCIO IMPORTAÇÃO E EXPORTAÇÃO</t>
  </si>
  <si>
    <t>2017/0000019758</t>
  </si>
  <si>
    <t>ÁGUAS DE SÃO FRANCISCO CONCESSIONÁRIA</t>
  </si>
  <si>
    <t>2018/0000027251</t>
  </si>
  <si>
    <t>CERVEJARIA AMAZÔNICA</t>
  </si>
  <si>
    <t>Prescrito</t>
  </si>
  <si>
    <t>2018/0000007788</t>
  </si>
  <si>
    <t>PARÁ COURO INDÚSTRIA E COMÉRCIO DE COURO</t>
  </si>
  <si>
    <t>2018/0000028197</t>
  </si>
  <si>
    <t>RESIDENCIAL JARDIM TROPICAL</t>
  </si>
  <si>
    <t>2017/0000020298</t>
  </si>
  <si>
    <t>PARAGÁS DISTRIBUIDORA</t>
  </si>
  <si>
    <t>2017/0000028993</t>
  </si>
  <si>
    <t>HIDRO ENGENHARIA SANITÁRIA E AMBIENTAL</t>
  </si>
  <si>
    <t>2017/0000013347</t>
  </si>
  <si>
    <t>STÊNIO OLIVEIRA GODIM</t>
  </si>
  <si>
    <t>2017/0000010621</t>
  </si>
  <si>
    <t>AUTO POSTO FOLHA 23</t>
  </si>
  <si>
    <t>2017/0000033899</t>
  </si>
  <si>
    <t>2020/0000030830</t>
  </si>
  <si>
    <t>2021/0000020181</t>
  </si>
  <si>
    <t>2017/0000011624</t>
  </si>
  <si>
    <t>FÁBRICA CORDEIRO</t>
  </si>
  <si>
    <t>2016/0000041920</t>
  </si>
  <si>
    <t>POSTO SÃO SEBASTIÃO COMÉRCIO DE COMBUSTÍVEIS</t>
  </si>
  <si>
    <t>2017/0000011201</t>
  </si>
  <si>
    <t>ANTÔNIO HIGINO DE ALMEIDA NETO</t>
  </si>
  <si>
    <t>2017/0000011551</t>
  </si>
  <si>
    <t>AMARELÃO MADEIRAS</t>
  </si>
  <si>
    <t>2024/0000004389</t>
  </si>
  <si>
    <t>SAMUEL FELIX DA ROCHA</t>
  </si>
  <si>
    <t>R$224.000,00</t>
  </si>
  <si>
    <t>2023/0000024096</t>
  </si>
  <si>
    <t>PAULO KOZEN</t>
  </si>
  <si>
    <t>2016/0000037373</t>
  </si>
  <si>
    <t>PREFEITURA DE MARITUBA</t>
  </si>
  <si>
    <t>2016/0000041431</t>
  </si>
  <si>
    <t>IMERIS RIO CAPIM</t>
  </si>
  <si>
    <t>2017/0000012561</t>
  </si>
  <si>
    <t>TRANSPORTES BERTOLINI LTDA</t>
  </si>
  <si>
    <t>02.Fevereiro</t>
  </si>
  <si>
    <t>2017/0000010612</t>
  </si>
  <si>
    <t>REBELO E ALVES COMERCIO E NAVEGAÇÃO LTDA</t>
  </si>
  <si>
    <t>2017/0000019773</t>
  </si>
  <si>
    <t>POSTO MESQUITA LTDA EPP</t>
  </si>
  <si>
    <t>2017/0000044604</t>
  </si>
  <si>
    <t>2021/0000037288</t>
  </si>
  <si>
    <t>CRW AUTOPOSTO</t>
  </si>
  <si>
    <t>2019/0000010119</t>
  </si>
  <si>
    <t>COMPANHIA DOCAS DO PARÁ</t>
  </si>
  <si>
    <t>2020/0000018138</t>
  </si>
  <si>
    <t>EQUATORIAL PARÁ DISTRIBUIDORA DE ENERGIA S.A.</t>
  </si>
  <si>
    <t>2020/0000035691</t>
  </si>
  <si>
    <t>Encaminhamento ao NUCAM para agendamento da conciliação ambiental</t>
  </si>
  <si>
    <t>2020/0000027462</t>
  </si>
  <si>
    <t>PREFEITURA DE URUARÁ</t>
  </si>
  <si>
    <t>2020/0000021501</t>
  </si>
  <si>
    <t>2024/0000048398</t>
  </si>
  <si>
    <t>HADEX COMÉRCIO E INDUSTRIA DE MADEIRAS</t>
  </si>
  <si>
    <t>Transferido de Pauta</t>
  </si>
  <si>
    <t>2017/0000013983</t>
  </si>
  <si>
    <t>2017/0000028287</t>
  </si>
  <si>
    <t>HNK BR BEBIDAS LTDA</t>
  </si>
  <si>
    <t>2018/0000015322</t>
  </si>
  <si>
    <t>VALE S.A</t>
  </si>
  <si>
    <t>Processo baixado em diligência para a reapreciação dos autos. Encaminhamento dos autos para DIREH</t>
  </si>
  <si>
    <t>2022/0000014079</t>
  </si>
  <si>
    <t>PAGRISA PARÁ PASTORIAL E AGRÍCOLA</t>
  </si>
  <si>
    <t>2022/0000006284</t>
  </si>
  <si>
    <t>SERRA GRANDE EMPREENDIMENTOS IMOBILIÁRIO</t>
  </si>
  <si>
    <t>Não acatada a sugestão da 1ª CTP, optando pela majoração do valor da penalidade</t>
  </si>
  <si>
    <t>2023/0000052260</t>
  </si>
  <si>
    <t>TERRABOI  ADMINISTRAÇÃO E PARTICIPAÇÃO</t>
  </si>
  <si>
    <t>2015/0000037177</t>
  </si>
  <si>
    <t>CLAUDIOMAR VICENTE KEHRNVALD</t>
  </si>
  <si>
    <t>Manutenção do Termo de Embargo nº 999/2015 até que seja apresentada comprovação de adesão ao PRA</t>
  </si>
  <si>
    <t>2017/0000021388</t>
  </si>
  <si>
    <t>GABRIELA CÔRTES</t>
  </si>
  <si>
    <t>2021/0000007152</t>
  </si>
  <si>
    <t>DIEGO FREITAS DA SILVA</t>
  </si>
  <si>
    <t>Encaminhamento dos autos ao NUCAM para agendamento de conciliação ambiental</t>
  </si>
  <si>
    <t>2017/0000020690</t>
  </si>
  <si>
    <t>01.Janeiro</t>
  </si>
  <si>
    <t>2018/0000049122</t>
  </si>
  <si>
    <t>ALCOA WORLD ALUMINA BRASIL</t>
  </si>
  <si>
    <t>2018/0000015287</t>
  </si>
  <si>
    <t>2018/0000015293</t>
  </si>
  <si>
    <t>2017/0000016276</t>
  </si>
  <si>
    <t>TAPAJOS ALIMENTOS LTDA</t>
  </si>
  <si>
    <t>2019/0000037484</t>
  </si>
  <si>
    <t>PARQUE DA ETERNIDADE LTDA</t>
  </si>
  <si>
    <t>2021/0000037502</t>
  </si>
  <si>
    <t>GANA GOLD APOIO A MINERAÇÃO</t>
  </si>
  <si>
    <t>2017/0000003158</t>
  </si>
  <si>
    <t>J EILTON DE OLIVEIRA</t>
  </si>
  <si>
    <t>2017/0000010423</t>
  </si>
  <si>
    <t>DEIVID ANTONIO DE SOUSA</t>
  </si>
  <si>
    <t>Devolução dos bens apreendidos</t>
  </si>
  <si>
    <t>2017/0000042364</t>
  </si>
  <si>
    <t>CODELCO DO BRASIL MINERAÇÃO LTDA</t>
  </si>
  <si>
    <t>cancelamento do auto de infração</t>
  </si>
  <si>
    <t>2020/0000017424</t>
  </si>
  <si>
    <t>VALDIMARIO MOTA LOBATO</t>
  </si>
  <si>
    <t>2020/0000033266</t>
  </si>
  <si>
    <t>DARCI OLIVO TONELLO</t>
  </si>
  <si>
    <t>2017/0000016007</t>
  </si>
  <si>
    <t>JVS EMPREENDIMENTOS IMOBILIÁRIOS SPE LTDA</t>
  </si>
  <si>
    <t>2020/0000028002</t>
  </si>
  <si>
    <t>Manutenção do Termo de Embargo até a devida adesão ao PRA</t>
  </si>
  <si>
    <t>2021/0000000266</t>
  </si>
  <si>
    <t>NICOLA SEBASTIAO TANCREDI</t>
  </si>
  <si>
    <t>Encaminhado para a CFISC e manutenção do Termo de Embargo até a devida adesão ao PRA</t>
  </si>
  <si>
    <t>2022/0000041135</t>
  </si>
  <si>
    <t>FÁBIO PAMPLONA DAIBES</t>
  </si>
  <si>
    <t>Cancelamento do auto de infração, bem como cancelamento do embargo na área</t>
  </si>
  <si>
    <t>2024/0000018540</t>
  </si>
  <si>
    <t>LEANDRO MULLER</t>
  </si>
  <si>
    <t>Cancelamento do auto de infração, bem como o cancelamento do valor pecuniário aplicado e das medidas cautelares, e o encaminhamento dos autos à DIFISC</t>
  </si>
  <si>
    <t>2016/0000004004</t>
  </si>
  <si>
    <t>M. R. M. DIAS E CIA LTDA</t>
  </si>
  <si>
    <t>2017/0000040828</t>
  </si>
  <si>
    <t>JOSÉ CARLOS DA SILVA COSTA</t>
  </si>
  <si>
    <t>Manutenção do termo de Apreensão e Depósito</t>
  </si>
  <si>
    <t>2018/0000017041</t>
  </si>
  <si>
    <t>MARÍLIA CASTRO BRASIL DUARTE</t>
  </si>
  <si>
    <t>Conversão da penalidade de multa simples para penalidade de advertência</t>
  </si>
  <si>
    <t>2022/0000032136</t>
  </si>
  <si>
    <t>S DE M GUARNIERI EIRELI</t>
  </si>
  <si>
    <t>2018/0000034641</t>
  </si>
  <si>
    <t>2018/0000014657</t>
  </si>
  <si>
    <t>ALFA AUTOPOSTO LTDA</t>
  </si>
  <si>
    <t>2019/0000038284</t>
  </si>
  <si>
    <t>BURITIRAMA MINERAÇÃO S.A.</t>
  </si>
  <si>
    <t>2023/0000002351</t>
  </si>
  <si>
    <t>CARLOS NORBERTO DA SILVA LIBERAL</t>
  </si>
  <si>
    <t>2018/0000032293</t>
  </si>
  <si>
    <t>CARLOS VINICIOS DE MELO VIEIRA</t>
  </si>
  <si>
    <t>2017/0000044643</t>
  </si>
  <si>
    <t>COMERCIAL MANOEL PASSOS EIRELI</t>
  </si>
  <si>
    <t>2017/0000028999</t>
  </si>
  <si>
    <t>2023/0000029524</t>
  </si>
  <si>
    <t>DIRCE PASTANE DOS SANTOS</t>
  </si>
  <si>
    <t>R$ 2.395.00,00</t>
  </si>
  <si>
    <t>2023/0000034814</t>
  </si>
  <si>
    <t>ELITON PEREIRA DE OLIVEIRA</t>
  </si>
  <si>
    <t>2023/0000049738</t>
  </si>
  <si>
    <t>FRIGOL S.A.</t>
  </si>
  <si>
    <t>2018/0000053645</t>
  </si>
  <si>
    <t>2018/0000013754</t>
  </si>
  <si>
    <t>baixado em diligencia e fixação de até 5 dias para apresentação de documentos  pela autuada</t>
  </si>
  <si>
    <t>2018/0000021482</t>
  </si>
  <si>
    <t>HUGLEYSON MOITA AZEVEDO</t>
  </si>
  <si>
    <t>2017/0000001576</t>
  </si>
  <si>
    <t>IPEX COMÉRCIO DE MADEIRAS LTDA</t>
  </si>
  <si>
    <t>2017/0000003154</t>
  </si>
  <si>
    <t>2020/0000034453</t>
  </si>
  <si>
    <t>JOSE MARQUES FERREIRA</t>
  </si>
  <si>
    <t>2020/0000025280</t>
  </si>
  <si>
    <t>KASSIO FONSECA LACERDA</t>
  </si>
  <si>
    <t>2022/0000005607</t>
  </si>
  <si>
    <t>KPS LOCALIZAÇÃO E NEGÓCIOS IMOBILIÁRIOS</t>
  </si>
  <si>
    <t>2017/0000001075</t>
  </si>
  <si>
    <t>LAMINADOS DE MADEIRAS DO PARÁ LTDA</t>
  </si>
  <si>
    <t>2017/0000017529</t>
  </si>
  <si>
    <t>2018/0000010977</t>
  </si>
  <si>
    <t>MADEIREIRA TUCUMÃ EIRELI</t>
  </si>
  <si>
    <t>2017/0000003779</t>
  </si>
  <si>
    <t>MANOEL SEVERINO DA SILVA</t>
  </si>
  <si>
    <t>2017/0000028853</t>
  </si>
  <si>
    <t>MARCELO VIEIRA NEVES</t>
  </si>
  <si>
    <t>2023/0000007605</t>
  </si>
  <si>
    <t>MINERAÇÃO MOEMA LTDA</t>
  </si>
  <si>
    <t>2017/0000027797</t>
  </si>
  <si>
    <t>PHOSFAZ FERTILIZANTES LTDA</t>
  </si>
  <si>
    <t>2017/0000038821</t>
  </si>
  <si>
    <t>SERABI MINERAÇÃO S.A.</t>
  </si>
  <si>
    <t>2017/0000010043</t>
  </si>
  <si>
    <t>SÃO DOMINGOS IND. E COM. DE MOVEIS LTDA</t>
  </si>
  <si>
    <t>2017/0000029940</t>
  </si>
  <si>
    <t>TIM CELULAR S.A</t>
  </si>
  <si>
    <t>2017/0000010584</t>
  </si>
  <si>
    <t>VALE DOURADO MINERAÇÃO LTDA.</t>
  </si>
  <si>
    <t>2017/0000025288</t>
  </si>
  <si>
    <t>ANTONIO CARLOS PEREIRA</t>
  </si>
  <si>
    <t>12.Dezembro</t>
  </si>
  <si>
    <t>2016/0000042059</t>
  </si>
  <si>
    <t>ASAS COMERCIO DE COMBUSTIVEIS LTDA – EPP</t>
  </si>
  <si>
    <t>2021/0000000530</t>
  </si>
  <si>
    <t>CAJAMIL AGROPECUARIA LTDA</t>
  </si>
  <si>
    <t>2017/0000036505</t>
  </si>
  <si>
    <t>2020/0000035652</t>
  </si>
  <si>
    <t>CONDOMINIO RESIDENCIAL FERNANDO GUILHON</t>
  </si>
  <si>
    <t>2017/0000012353</t>
  </si>
  <si>
    <t>CONDOMÍNIO SKY VILLE</t>
  </si>
  <si>
    <t>2017/0000039974</t>
  </si>
  <si>
    <t>CRISTAL HOTEL LTDA</t>
  </si>
  <si>
    <t>2024/0000007855</t>
  </si>
  <si>
    <t>DANIEL ZAGONEL</t>
  </si>
  <si>
    <t>2015/0000018169</t>
  </si>
  <si>
    <t>2017/0000015279</t>
  </si>
  <si>
    <t>DURLICOUROS IND E COM DE COUROS, EXP E IMPORTAÇÃO LTDA</t>
  </si>
  <si>
    <t>2022/0000013880</t>
  </si>
  <si>
    <t>2019/0000007572</t>
  </si>
  <si>
    <t>EVERALDO JOSÉ SALES DE LIMA</t>
  </si>
  <si>
    <t>2017/0000011198</t>
  </si>
  <si>
    <t>2017/0000009847</t>
  </si>
  <si>
    <t>2017/0000038819</t>
  </si>
  <si>
    <t>2017/0000010722</t>
  </si>
  <si>
    <t>2017/0000042512</t>
  </si>
  <si>
    <t>INDUSTRIA DE MADEIRA SÃO TOMAZ EIRELI</t>
  </si>
  <si>
    <t>2017/0000001071</t>
  </si>
  <si>
    <t>2017/0000040183</t>
  </si>
  <si>
    <t>MADECOL MADEIREIRA COLOMBO LTDA</t>
  </si>
  <si>
    <t>2017/0000010595</t>
  </si>
  <si>
    <t>PEMA AVGAS COMERCIO DE COMBUSTIVEIS LTDA</t>
  </si>
  <si>
    <t>2017/0000040773</t>
  </si>
  <si>
    <t>PROJETO ARAPAIMA, IMPORTAÇÃO E EXPORTAÇÃO DE AQUICULTURA EIRELI</t>
  </si>
  <si>
    <t>2017/0000040768</t>
  </si>
  <si>
    <t>2015/0000024213</t>
  </si>
  <si>
    <t>2024/0000026087</t>
  </si>
  <si>
    <t>SILENE MARIA KOCH SELZLER</t>
  </si>
  <si>
    <t>2017/0000018480</t>
  </si>
  <si>
    <t>M BANDEIRA SOARES EIRELI ME</t>
  </si>
  <si>
    <t>11.Novembro</t>
  </si>
  <si>
    <t>2018/0000027958</t>
  </si>
  <si>
    <t>2018/0000005156</t>
  </si>
  <si>
    <t>2017/0000020792</t>
  </si>
  <si>
    <t>NOVA ALTAMIRA EMPREENDIMENTOS IMOBILIÁRIOS LTDA</t>
  </si>
  <si>
    <t>2017/0000010321</t>
  </si>
  <si>
    <t>VALMIR SCHUELTER</t>
  </si>
  <si>
    <t>2017/0000001067</t>
  </si>
  <si>
    <t>A M JUNIOR MATERIAIS DE CONSTRUCÃO LTDA</t>
  </si>
  <si>
    <t>10.Outubro</t>
  </si>
  <si>
    <t>2017/0000010794</t>
  </si>
  <si>
    <t>BELA IAÇA POLPAS DE FRUTAS INDÚSTRIA E COMÉRCIO LTDA</t>
  </si>
  <si>
    <t>2017/0000010790</t>
  </si>
  <si>
    <t>2014/0000025563</t>
  </si>
  <si>
    <t>CIKEL BRASIL VERDE MADEIRAS LTDA</t>
  </si>
  <si>
    <t>2017/0000003025</t>
  </si>
  <si>
    <t>2016/0000041815</t>
  </si>
  <si>
    <t>INDUSTRIA E COMERCIO DE COSMETICOS NATURA LTDA</t>
  </si>
  <si>
    <t>2020/0000022196</t>
  </si>
  <si>
    <t>MARIO SERGIO CARDOSO MELO</t>
  </si>
  <si>
    <t>2016/0000044224</t>
  </si>
  <si>
    <t>NAVEGAÇÕES UNIDAS TAPAJÓS S.A</t>
  </si>
  <si>
    <t>2019/0000036188</t>
  </si>
  <si>
    <t>PAGRISA PARÁ PASTORIL AGRÍCULA SA</t>
  </si>
  <si>
    <t>PARA COURO INDUSTRIA E COMERCIO DE COUROS LTDA</t>
  </si>
  <si>
    <t>2017/0000010607</t>
  </si>
  <si>
    <t>2016/0000027229</t>
  </si>
  <si>
    <t>SANTA BÁRBARA COMÉRCIO DE COMBUSTÍVEIS LTDA</t>
  </si>
  <si>
    <t>2016/0000042971</t>
  </si>
  <si>
    <t>SERRARIA UNIÃO CUPARI LTDA</t>
  </si>
  <si>
    <t>2016/0000045708</t>
  </si>
  <si>
    <t>2016/0000033124</t>
  </si>
  <si>
    <t>TRANSMARE TRANSPORTE MARÍTIMO DE DERIVADOS DE PETRÓLEO LTDA</t>
  </si>
  <si>
    <t>2016/0000029114</t>
  </si>
  <si>
    <t>AGROPECUÁRIA BARRA DO TRIUNFO LTDA</t>
  </si>
  <si>
    <t>05.Maio</t>
  </si>
  <si>
    <t>2016/0000024501</t>
  </si>
  <si>
    <t>ABRAMEX COMÉRCIO E EXPORTAÇÃO LTDA</t>
  </si>
  <si>
    <t>09.Setemrbro</t>
  </si>
  <si>
    <t>2013/0000036461</t>
  </si>
  <si>
    <t>ALBRÁS ALUMÍNIO BRASIL S.A</t>
  </si>
  <si>
    <t>2013/0000036382</t>
  </si>
  <si>
    <t>2021/0000031142</t>
  </si>
  <si>
    <t>ANA MARIA FERREIRA LIMA</t>
  </si>
  <si>
    <t>2016/0000022470</t>
  </si>
  <si>
    <t>AUTO POSTO MAVERICK</t>
  </si>
  <si>
    <t>2016/0000018424</t>
  </si>
  <si>
    <t>BENEDITO FRANCISCO DIAS DA COSTA</t>
  </si>
  <si>
    <t>2020/0000017561</t>
  </si>
  <si>
    <t>BRK AMBIENTAL</t>
  </si>
  <si>
    <t>2021/0000030077</t>
  </si>
  <si>
    <t>CLÁUDIO PRADO PEDROSA JUNIOR</t>
  </si>
  <si>
    <t>2021/0000020211</t>
  </si>
  <si>
    <t>EQUATORIAL PARÁ DISTRIBUIDORA DE ENERGIA S.A./SOENERGY</t>
  </si>
  <si>
    <t>2020/0000026183</t>
  </si>
  <si>
    <t>GUAMÁ TRATAMENTO DE RESÍDUOS</t>
  </si>
  <si>
    <t>2018/0000027304</t>
  </si>
  <si>
    <t>2018/0000027338</t>
  </si>
  <si>
    <t>2019/0000021580</t>
  </si>
  <si>
    <t>2014/0000013467</t>
  </si>
  <si>
    <t>2016/0000011954</t>
  </si>
  <si>
    <t>INSTITUTO DE DIVULGAÇÃO DA AMAZÔNIA</t>
  </si>
  <si>
    <t>2021/0000005333</t>
  </si>
  <si>
    <t>J J GOMES DA SILVA</t>
  </si>
  <si>
    <t>2021/0000031616</t>
  </si>
  <si>
    <t>KÁTIA SILENE MORAES FERREIRA</t>
  </si>
  <si>
    <t>2022/0000031237</t>
  </si>
  <si>
    <t>2020/0000032352</t>
  </si>
  <si>
    <t>PALMYRA DO BRASIL IND. E COM. DE SILÍCIO METÁLICO E RECURSOS NATURAIS LTDA</t>
  </si>
  <si>
    <t>2022/0000002848</t>
  </si>
  <si>
    <t>2020/0000034610</t>
  </si>
  <si>
    <t>2020/0000025156</t>
  </si>
  <si>
    <t>SANDRA REGINA WEYDMAMM WOBETO</t>
  </si>
  <si>
    <t>2016/0000017781</t>
  </si>
  <si>
    <t>TIAGO BORDIN HOFFMANN</t>
  </si>
  <si>
    <t>2021/0000020965</t>
  </si>
  <si>
    <t>URUSSANGA MINÉRIOS LTDA</t>
  </si>
  <si>
    <t>2017/0000034851</t>
  </si>
  <si>
    <t>08.Agosto</t>
  </si>
  <si>
    <t>2022/0000002704</t>
  </si>
  <si>
    <t>2022/0000002702</t>
  </si>
  <si>
    <t>2022/0000002706</t>
  </si>
  <si>
    <t>2018/0000049139</t>
  </si>
  <si>
    <t>2018/0000049170</t>
  </si>
  <si>
    <t>2020/0000027077</t>
  </si>
  <si>
    <t>ALEXANDRE MANOEL TREVISAN</t>
  </si>
  <si>
    <t>2007/0000172098</t>
  </si>
  <si>
    <t>ALFA TRANSPORTES</t>
  </si>
  <si>
    <t>2020/0000035314</t>
  </si>
  <si>
    <t>COMPANHIA DE HABITAÇÃO DO PARÁ</t>
  </si>
  <si>
    <t>2021/0000033381</t>
  </si>
  <si>
    <t>EQUATORIAL PARÁ DISTRIBUIDORA DE ENERGIA</t>
  </si>
  <si>
    <t>2016/0000019766</t>
  </si>
  <si>
    <t>2019/0000050814</t>
  </si>
  <si>
    <t>JOSÉ GABRIEL FORO DE ALENCAR</t>
  </si>
  <si>
    <t>2021/0000014086</t>
  </si>
  <si>
    <t>MARCOS ANTÔNIO BOMBANA</t>
  </si>
  <si>
    <t>2020/0000031561</t>
  </si>
  <si>
    <t>MOVIMENTO TRANSPORTE LOCAÇÃO DE MÁQUINAS</t>
  </si>
  <si>
    <t>2019/0000032276</t>
  </si>
  <si>
    <t>PAEX MAMURÚ</t>
  </si>
  <si>
    <t>Encaminhamento para DIFISC</t>
  </si>
  <si>
    <t>2019/0000032274</t>
  </si>
  <si>
    <t>Processo retirado de pauta</t>
  </si>
  <si>
    <t>2023/0000034946</t>
  </si>
  <si>
    <t>ALISON RODRIGUES SALGADO</t>
  </si>
  <si>
    <t>07.Julho</t>
  </si>
  <si>
    <t>2021/0000002845</t>
  </si>
  <si>
    <t>AROLDO GOMES</t>
  </si>
  <si>
    <t>2021/0000033164</t>
  </si>
  <si>
    <t>CONDOMÍNIO MORADAS CLUB ILHAS DO PARÁ</t>
  </si>
  <si>
    <t>Processo retirado de pauta.</t>
  </si>
  <si>
    <t>2020/0000023824</t>
  </si>
  <si>
    <t>2021/0000037506</t>
  </si>
  <si>
    <t>GANA GOLD APOIO A MINERACAO EIRELI</t>
  </si>
  <si>
    <t>2024/0000000137</t>
  </si>
  <si>
    <t>GILSON SILVA SOUZA</t>
  </si>
  <si>
    <t>2022/0000021989</t>
  </si>
  <si>
    <t>JADES DA SILVA SOARES</t>
  </si>
  <si>
    <t>2022/0000044273</t>
  </si>
  <si>
    <t>Jakson Neves de França</t>
  </si>
  <si>
    <t>2020/0000022194</t>
  </si>
  <si>
    <t>2023/0000058231</t>
  </si>
  <si>
    <t>MISSIAS LORIANO FERREIRA</t>
  </si>
  <si>
    <t>2023/0000024109</t>
  </si>
  <si>
    <t>PAULO KONZEN</t>
  </si>
  <si>
    <t>2019/0000051242</t>
  </si>
  <si>
    <t>Raimundo Sérgio da Silva Santos</t>
  </si>
  <si>
    <t>2023/0000058693</t>
  </si>
  <si>
    <t>SEBASTIÃO NOGUEIRA DE SOUSA</t>
  </si>
  <si>
    <t>2021/0000010876</t>
  </si>
  <si>
    <t>Talles Rodrigues Siqueira</t>
  </si>
  <si>
    <t>2024/0000000190</t>
  </si>
  <si>
    <t>VITOR LUCIANO WOLFF</t>
  </si>
  <si>
    <t>2018/0000030414</t>
  </si>
  <si>
    <t>AGROPALMA S.A</t>
  </si>
  <si>
    <t>Retorno dos autos à 1ª instância</t>
  </si>
  <si>
    <t>2021/0000021657</t>
  </si>
  <si>
    <t>2019/0000048057</t>
  </si>
  <si>
    <t>2018/0000049140</t>
  </si>
  <si>
    <t>ALCOA WORLD ALUMINA BRASIL LTDA</t>
  </si>
  <si>
    <t>2018/0000049164</t>
  </si>
  <si>
    <t>2020/0000005862</t>
  </si>
  <si>
    <t>ALEXANDRE MENDES DE SOUZA</t>
  </si>
  <si>
    <t>2018/0000018107</t>
  </si>
  <si>
    <t>ALUNORTE ALUMINA DO NORTE DO BRASIL SA</t>
  </si>
  <si>
    <t>2023/0000044919</t>
  </si>
  <si>
    <t>ATEM S DISTRIBUIDORA DE PETROLEO S.A</t>
  </si>
  <si>
    <t>Conversão de multa simples em advertência.</t>
  </si>
  <si>
    <t>2022/0000014370</t>
  </si>
  <si>
    <t>AUTO POSTO ARIELLA EIRELI</t>
  </si>
  <si>
    <t>2022/0000018245</t>
  </si>
  <si>
    <t>BIOPALMA DA AMAZÔNIA S.A. INDÚSTRIA E COMÉRCIO</t>
  </si>
  <si>
    <t>2017/0000010842</t>
  </si>
  <si>
    <t>2023/0000048650</t>
  </si>
  <si>
    <t>BRASIL BIO FUELS REFLORESTAMENTO INDUSTRIA E COMERCIO S.A</t>
  </si>
  <si>
    <t>2023/0000029200</t>
  </si>
  <si>
    <t>2020/0000033957</t>
  </si>
  <si>
    <t>2021/0000037182</t>
  </si>
  <si>
    <t>2021/0000000532</t>
  </si>
  <si>
    <t>BRASIL INDÚSTRIA E COMÉRCIO DE MADEIRAS LTDA</t>
  </si>
  <si>
    <t>2018/0000044512</t>
  </si>
  <si>
    <t>CARGILL AGRICOLA SA</t>
  </si>
  <si>
    <t>2017/0000041516</t>
  </si>
  <si>
    <t>COMPANHIA DE SANEAMENTO DO PARA</t>
  </si>
  <si>
    <t>2018/0000053982</t>
  </si>
  <si>
    <t>2020/0000030239</t>
  </si>
  <si>
    <t>2023/0000041294</t>
  </si>
  <si>
    <t>CRISTOVÃO FERREIRA DE OLIVEIRA</t>
  </si>
  <si>
    <t>2023/0000038803</t>
  </si>
  <si>
    <t>2023/0000029520</t>
  </si>
  <si>
    <t>ELDORADO DO XINGU SA AGRICOLA PASTORIL E INDUSTRIA</t>
  </si>
  <si>
    <t>Processo baixado em diligência.</t>
  </si>
  <si>
    <t>2021/0000026363</t>
  </si>
  <si>
    <t>FACEPA FÁBRICA DE PAPEL DA AMAZONIA S.A.</t>
  </si>
  <si>
    <t>2021/0000037516</t>
  </si>
  <si>
    <t>2023/0000026838</t>
  </si>
  <si>
    <t>Gilmar Paulo Peruzzo</t>
  </si>
  <si>
    <t>2023/0000026774</t>
  </si>
  <si>
    <t>2023/0000003373</t>
  </si>
  <si>
    <t>JBS S.A</t>
  </si>
  <si>
    <t>2018/0000060346</t>
  </si>
  <si>
    <t>2018/0000060348</t>
  </si>
  <si>
    <t>2023/0000041291</t>
  </si>
  <si>
    <t>JOSÉ ADARIL OLIVEIRA COSTA</t>
  </si>
  <si>
    <t>2023/0000023368</t>
  </si>
  <si>
    <t>JOSÉ FILHO MACHADO DE FREITAS.</t>
  </si>
  <si>
    <t>2020/0000032812</t>
  </si>
  <si>
    <t>2021/0000037526</t>
  </si>
  <si>
    <t>MARBORGES AGROINDÚSTRIA LTDA</t>
  </si>
  <si>
    <t>2023/0000026778</t>
  </si>
  <si>
    <t>MARCOS VINICIO DA CRUZ</t>
  </si>
  <si>
    <t>2015/0000030533</t>
  </si>
  <si>
    <t>2015/0000030538</t>
  </si>
  <si>
    <t>2015/0000033177</t>
  </si>
  <si>
    <t>2016/0000034210</t>
  </si>
  <si>
    <t>2022/0000031492</t>
  </si>
  <si>
    <t>Nelson Alves Rocha</t>
  </si>
  <si>
    <t>2020/0000032817</t>
  </si>
  <si>
    <t>PREFEITURA MUNICIPAL DE SOURE</t>
  </si>
  <si>
    <t>2023/0000058543</t>
  </si>
  <si>
    <t>RAFAEL DIEGO VARGAS</t>
  </si>
  <si>
    <t>2023/0000041288</t>
  </si>
  <si>
    <t>RAIMUNDO SANTOS OLIVEIRA</t>
  </si>
  <si>
    <t>2023/0000050718</t>
  </si>
  <si>
    <t>RAULINO DE PAULA GONDIM</t>
  </si>
  <si>
    <t>2020/0000006025</t>
  </si>
  <si>
    <t>TIAGO RAMOS DIAS</t>
  </si>
  <si>
    <t>2023/0000011980</t>
  </si>
  <si>
    <t>VALCIR TREVISAN</t>
  </si>
  <si>
    <t>2020/0000033459</t>
  </si>
  <si>
    <t>2023/0000013491</t>
  </si>
  <si>
    <t>AGROPECUÁRIA SANTA BARBARA XINGUARA SA</t>
  </si>
  <si>
    <t>Encaminhamento para CIMAM, manter o auto.</t>
  </si>
  <si>
    <t>06.Junho</t>
  </si>
  <si>
    <t>2018/0000049558</t>
  </si>
  <si>
    <t>2019/0000005035</t>
  </si>
  <si>
    <t>2023/0000056416</t>
  </si>
  <si>
    <t>EMILLY VITÓRIA OLIVEIRA CAMARGO</t>
  </si>
  <si>
    <t>2023/0000056430</t>
  </si>
  <si>
    <t>2023/0000017458</t>
  </si>
  <si>
    <t>FABRICIO COELHO SOARES</t>
  </si>
  <si>
    <t>Cancelamento da multa e manutenção do Termo de Embargo</t>
  </si>
  <si>
    <t>2023/0000050632</t>
  </si>
  <si>
    <t>MARCIO NATALINO PIOVEZAN CORDEIRO</t>
  </si>
  <si>
    <t>2023/0000050673</t>
  </si>
  <si>
    <t>Baixado em diligência</t>
  </si>
  <si>
    <t>Anulação do AIA</t>
  </si>
  <si>
    <t>2020/0000016832</t>
  </si>
  <si>
    <t>ANTÔNIO LUCENA BARROS</t>
  </si>
  <si>
    <t>2020/0000035029</t>
  </si>
  <si>
    <t>2017/0000014083</t>
  </si>
  <si>
    <t>2020/0000015376</t>
  </si>
  <si>
    <t>CONDOMÍNIO PARK ITÁLIA</t>
  </si>
  <si>
    <t>2023/0000030029</t>
  </si>
  <si>
    <t>2021/0000037540</t>
  </si>
  <si>
    <t>2022/0000043640</t>
  </si>
  <si>
    <t>GIOVANI PORFIRIO DA COSTA</t>
  </si>
  <si>
    <t>2020/0000029476</t>
  </si>
  <si>
    <t>2020/0000029480</t>
  </si>
  <si>
    <t>2020/0000033351</t>
  </si>
  <si>
    <t>2020/0000004692</t>
  </si>
  <si>
    <t>L e C CONSULTORIA EMPRESARIAL LTDA</t>
  </si>
  <si>
    <t>2015/0000014721</t>
  </si>
  <si>
    <t>NICOLAS G DE MACEDO E CIA LTDA</t>
  </si>
  <si>
    <t>2020/0000004705</t>
  </si>
  <si>
    <t>NORDISK TIMBER EIRELI</t>
  </si>
  <si>
    <t>2017/0000002076</t>
  </si>
  <si>
    <t>PREFEITURA MUNICIPAL DE SÃO SEBASTIÃO DA BOA VISTA</t>
  </si>
  <si>
    <t>2017/0000010604</t>
  </si>
  <si>
    <t>VIVO S A</t>
  </si>
  <si>
    <t>2020/0000027358</t>
  </si>
  <si>
    <t>2020/0000023411</t>
  </si>
  <si>
    <t>2020/0000027318</t>
  </si>
  <si>
    <t>2015/0000008153</t>
  </si>
  <si>
    <t>CERVEJARIA AMAZÔNIA LTDA</t>
  </si>
  <si>
    <t>2020/0000003831</t>
  </si>
  <si>
    <t>GABRIEL DE OLIVEIRA MOURa</t>
  </si>
  <si>
    <t>2021/0000024901</t>
  </si>
  <si>
    <t>MINERAÇAO CASTELO DOS SONHOS LTDA</t>
  </si>
  <si>
    <t>2020/0000035012</t>
  </si>
  <si>
    <t>SEBASTIÃO NILSON MENDES</t>
  </si>
  <si>
    <t>Cancelamento da multa</t>
  </si>
  <si>
    <t>2020/0000004080</t>
  </si>
  <si>
    <t>WILSON FABRICIO CAMPOS DE SÁ</t>
  </si>
  <si>
    <t>2020/0000004078</t>
  </si>
  <si>
    <t>2019/0000042815</t>
  </si>
  <si>
    <t>AGRONIL AGROPECUARIA NOVA INVERNADA LTDA</t>
  </si>
  <si>
    <t>2020/0000006209</t>
  </si>
  <si>
    <t>CONDOMÍNIO RESIDENCIAL VILLE AMETISTA</t>
  </si>
  <si>
    <t>Cancelamento</t>
  </si>
  <si>
    <t>2020/0000013606</t>
  </si>
  <si>
    <t>2017/0000009825</t>
  </si>
  <si>
    <t>Encaminhamento para a CONJUR</t>
  </si>
  <si>
    <t>2020/0000005080</t>
  </si>
  <si>
    <t>2021/0000037815</t>
  </si>
  <si>
    <t>LUAD COMERCIO DE MADEIRAS LTDA</t>
  </si>
  <si>
    <t>2016/0000032685</t>
  </si>
  <si>
    <t>ADEMIL REIS CHAVES</t>
  </si>
  <si>
    <t>2016/0000029122</t>
  </si>
  <si>
    <t>2016/0000029143</t>
  </si>
  <si>
    <t>2015/0000023015</t>
  </si>
  <si>
    <t>AIRTON BUDZIARECK FUNARI</t>
  </si>
  <si>
    <t>2018/0000023867</t>
  </si>
  <si>
    <t>2016/0000019923</t>
  </si>
  <si>
    <t>ALVARO FERNANDES SEGATTO</t>
  </si>
  <si>
    <t>2017/0000009511</t>
  </si>
  <si>
    <t>2021/0000042523</t>
  </si>
  <si>
    <t>ANDERSON BENCHIMOL FERREIRA</t>
  </si>
  <si>
    <t>2016/0000034411</t>
  </si>
  <si>
    <t>ANDRÉ PEREIRA ANDRADE</t>
  </si>
  <si>
    <t>2021/0000001635</t>
  </si>
  <si>
    <t>BERNAR TEIXEIRA CRUVINEL</t>
  </si>
  <si>
    <t>2021/0000001538</t>
  </si>
  <si>
    <t>2016/0000042965</t>
  </si>
  <si>
    <t>CARLOS JOSE PINHEIRO DA CUNHA</t>
  </si>
  <si>
    <t>2018/0000032294</t>
  </si>
  <si>
    <t>2018/0000032194</t>
  </si>
  <si>
    <t>2021/0000025790</t>
  </si>
  <si>
    <t>CERÂMICA DALSAM LTDA</t>
  </si>
  <si>
    <t>Cancelamento da penalidade de multa.</t>
  </si>
  <si>
    <t>2016/0000024691</t>
  </si>
  <si>
    <t>CHARLISTON MOREIRA DA CUNHA</t>
  </si>
  <si>
    <t>2020/0000038181</t>
  </si>
  <si>
    <t>2014/0000025571</t>
  </si>
  <si>
    <t>2019/0000046886</t>
  </si>
  <si>
    <t>2017/0000041507</t>
  </si>
  <si>
    <t>COMPANHIA DOCAS DO PARA</t>
  </si>
  <si>
    <t>2020/0000034663</t>
  </si>
  <si>
    <t>CSM AGROPECUÁRIA S.A</t>
  </si>
  <si>
    <t>2023/0000011329</t>
  </si>
  <si>
    <t>2023/0000029688</t>
  </si>
  <si>
    <t>DYONES NERES ALMEIDA</t>
  </si>
  <si>
    <t>2020/0000037587</t>
  </si>
  <si>
    <t>EDUARDO BONFIM GOMES</t>
  </si>
  <si>
    <t>2020/0000037585</t>
  </si>
  <si>
    <t>2016/0000031729</t>
  </si>
  <si>
    <t>2021/0000001233</t>
  </si>
  <si>
    <t>FAZENDA BOA ESPERANÇA</t>
  </si>
  <si>
    <t>2015/0000025765</t>
  </si>
  <si>
    <t>GABRIELA FONSECA</t>
  </si>
  <si>
    <t>2017/0000006997</t>
  </si>
  <si>
    <t>2020/0000026180</t>
  </si>
  <si>
    <t>2023/0000009718</t>
  </si>
  <si>
    <t>HELIO MOREIRA DA SILVA JUNIOR</t>
  </si>
  <si>
    <t>2015/0000020230</t>
  </si>
  <si>
    <t>HUMBERTO TAVARES BERNARDINO</t>
  </si>
  <si>
    <t>2016/0000029530</t>
  </si>
  <si>
    <t>IMOBILIÁRIA CEITA CORÊ LTDA</t>
  </si>
  <si>
    <t>2017/0000003474</t>
  </si>
  <si>
    <t>2016/0000033710</t>
  </si>
  <si>
    <t>INDÚSTRIA E COMÉRCIO DE AÇOS CARAJÁS LTDA</t>
  </si>
  <si>
    <t>2016/0000033817</t>
  </si>
  <si>
    <t>INST. NACIONAL DE COLONIZAÇÃO E REFORMA AGRÁRIA</t>
  </si>
  <si>
    <t>2020/0000025630</t>
  </si>
  <si>
    <t>2015/0000006569</t>
  </si>
  <si>
    <t>L.M.S.E. EMPREENDIMENTOS IMOBILIÁRIOS LTDA</t>
  </si>
  <si>
    <t>2016/0000024140</t>
  </si>
  <si>
    <t>2017/0000007521</t>
  </si>
  <si>
    <t>LN GUERRA INDÚSTRIA E COMÉRCIO DE MADEIRAS LTDA</t>
  </si>
  <si>
    <t>2021/0000028048</t>
  </si>
  <si>
    <t>LUCIA VALENTE TREVISAN</t>
  </si>
  <si>
    <t>2016/0000009741</t>
  </si>
  <si>
    <t>2016/0000033822</t>
  </si>
  <si>
    <t>2017/0000001368</t>
  </si>
  <si>
    <t>2021/0000029766</t>
  </si>
  <si>
    <t>MARIOZAN DOS SANTOS PANTOJA</t>
  </si>
  <si>
    <t>2020/0000037527</t>
  </si>
  <si>
    <t>2017/0000004947</t>
  </si>
  <si>
    <t>2016/0000023901</t>
  </si>
  <si>
    <t>2023/0000024106</t>
  </si>
  <si>
    <t>2016/0000014553</t>
  </si>
  <si>
    <t>PAULO PESSOA CAVALCANTE DE PETRIBU FILHO</t>
  </si>
  <si>
    <t>2016/0000015411</t>
  </si>
  <si>
    <t>POSTO ICCAR LTDA</t>
  </si>
  <si>
    <t>2016/0000037366</t>
  </si>
  <si>
    <t>PREFEITURA MUNICIPAL DE BENEVIDES</t>
  </si>
  <si>
    <t>2016/0000040884</t>
  </si>
  <si>
    <t>REINARDA MINERAÇÃO LTDA</t>
  </si>
  <si>
    <t>2013/0000017042</t>
  </si>
  <si>
    <t>RENATO DE ALMEIDA QUARTIERO</t>
  </si>
  <si>
    <t>2017/0000006682</t>
  </si>
  <si>
    <t>2016/0000045372</t>
  </si>
  <si>
    <t>S V LOGÍSITCA</t>
  </si>
  <si>
    <t>2017/0000003051</t>
  </si>
  <si>
    <t>SERRARIA BAHIA LTDA</t>
  </si>
  <si>
    <t>2018/0000015125</t>
  </si>
  <si>
    <t>2018/0000015111</t>
  </si>
  <si>
    <t>2017/0000003458</t>
  </si>
  <si>
    <t>SERRARIA SM SÃO LUIZ LTDA</t>
  </si>
  <si>
    <t>2016/0000035721</t>
  </si>
  <si>
    <t>SERVIÇO AUTÔNOMO DE ÁGUA E ESGOTO DE CANAÃ DOS CARAJÁS</t>
  </si>
  <si>
    <t>2016/0000019786</t>
  </si>
  <si>
    <t>2017/0000009609</t>
  </si>
  <si>
    <t>TRAMONTINA BELÉM S.A</t>
  </si>
  <si>
    <t>2020/0000034946</t>
  </si>
  <si>
    <t>TRANSURB LTDA</t>
  </si>
  <si>
    <t>2017/0000005072</t>
  </si>
  <si>
    <t>2019/0000046898</t>
  </si>
  <si>
    <t>2020/0000032981</t>
  </si>
  <si>
    <t>2017/0000007505</t>
  </si>
  <si>
    <t>ALBERTO ROHRIG</t>
  </si>
  <si>
    <t>2020/0000027296</t>
  </si>
  <si>
    <t>2020/0000034323</t>
  </si>
  <si>
    <t>ALIANZA LOGÍSTICA E EMPREENDIMENTOS LTDA</t>
  </si>
  <si>
    <t>2020/0000034333</t>
  </si>
  <si>
    <t>2021/0000005619</t>
  </si>
  <si>
    <t>ALLEDI TRANSPORTES E INCORPORAÇÕES LTDA</t>
  </si>
  <si>
    <t>Anulação AIA</t>
  </si>
  <si>
    <t>2018/0000014058</t>
  </si>
  <si>
    <t>AMORIM E FIGUEIREDO LTDA</t>
  </si>
  <si>
    <t>2021/0000007096</t>
  </si>
  <si>
    <t>2017/0000003662</t>
  </si>
  <si>
    <t>ANTONIO PEREIRA DA SILVA</t>
  </si>
  <si>
    <t>2019/0000042146</t>
  </si>
  <si>
    <t>2018/0000059535</t>
  </si>
  <si>
    <t>BURITI IMOVEIS LTDA</t>
  </si>
  <si>
    <t>2021/0000005090</t>
  </si>
  <si>
    <t>C.B.E COMPANHIA BRASILEIRA DE EQUIPAMENTO</t>
  </si>
  <si>
    <t>2021/0000005082</t>
  </si>
  <si>
    <t>2021/0000020235</t>
  </si>
  <si>
    <t>CIMENTOS DO BRASIL S.A CIBRASA</t>
  </si>
  <si>
    <t>2017/0000012976</t>
  </si>
  <si>
    <t>CKBV FLORESTAL LTDA</t>
  </si>
  <si>
    <t>2020/0000030780</t>
  </si>
  <si>
    <t>2017/0000009603</t>
  </si>
  <si>
    <t>Advertência</t>
  </si>
  <si>
    <t>2017/0000009646</t>
  </si>
  <si>
    <t>CONDOMINIO FIT MIRANTE DO LAGO</t>
  </si>
  <si>
    <t>2020/0000034412</t>
  </si>
  <si>
    <t>CONSTRUTORA SOUZA REIS LTDA</t>
  </si>
  <si>
    <t>2017/0000011611</t>
  </si>
  <si>
    <t>CONSÓRCIO CONSTRUTOR BELO MONTE</t>
  </si>
  <si>
    <t>2017/0000001566</t>
  </si>
  <si>
    <t>COWOOD TIMBERS LTDA</t>
  </si>
  <si>
    <t>2018/0000014568</t>
  </si>
  <si>
    <t>CRISABEL BATISTA DOS SANTOS</t>
  </si>
  <si>
    <t>2017/0000042079</t>
  </si>
  <si>
    <t>EXPAMA EXPORTADORA PARAGOMINAS DE MADEIRAS LTDA</t>
  </si>
  <si>
    <t>2017/0000006795</t>
  </si>
  <si>
    <t>FABIANO GOMES SILVEIRA NUNES</t>
  </si>
  <si>
    <t>2021/0000001227</t>
  </si>
  <si>
    <t>2018/0000014322</t>
  </si>
  <si>
    <t>Fazenda Itororó</t>
  </si>
  <si>
    <t>2017/0000004423</t>
  </si>
  <si>
    <t>2020/0000033403</t>
  </si>
  <si>
    <t>2022/0000001557</t>
  </si>
  <si>
    <t>JOSÉ CARLOS RANGEL GONÇALVES</t>
  </si>
  <si>
    <t>Doação ou leilão dos produtos apreendidos</t>
  </si>
  <si>
    <t>2019/0000023794</t>
  </si>
  <si>
    <t>JOSÉ VALTER FORÇA</t>
  </si>
  <si>
    <t>2017/0000003295</t>
  </si>
  <si>
    <t>2020/0000026371</t>
  </si>
  <si>
    <t>LUIZ CARLOS BEDIN</t>
  </si>
  <si>
    <t>2018/0000014865</t>
  </si>
  <si>
    <t>2017/0000001599</t>
  </si>
  <si>
    <t>2019/0000009795</t>
  </si>
  <si>
    <t>MADEIREIRA PORTES INDÚSTRIA COMÉRCIO E EXPORTAÇÃO EIRELI</t>
  </si>
  <si>
    <t>2017/0000008503</t>
  </si>
  <si>
    <t>2021/0000002742</t>
  </si>
  <si>
    <t>Cancelamento da multa, com manutenção de Termo de Embargo</t>
  </si>
  <si>
    <t>2021/0000001870</t>
  </si>
  <si>
    <t>Manutenção AIA (sem aplicação de multa)</t>
  </si>
  <si>
    <t>2021/0000001871</t>
  </si>
  <si>
    <t>2019/0000021988</t>
  </si>
  <si>
    <t>PANIFICADORA MIL SABORES EIRELI</t>
  </si>
  <si>
    <t>2017/0000003666</t>
  </si>
  <si>
    <t>PEDRO FERREIRA NUNES</t>
  </si>
  <si>
    <t>2019/0000015556</t>
  </si>
  <si>
    <t>2017/0000009094</t>
  </si>
  <si>
    <t>RICARDO CARDOSO DA SILVA</t>
  </si>
  <si>
    <t>2018/0000024761</t>
  </si>
  <si>
    <t>SERVPORTO SERVIÇOS GERAIS E APOIO PORTUÁRIO LTDA</t>
  </si>
  <si>
    <t>2020/0000033713</t>
  </si>
  <si>
    <t>VIALOC TRANSPORTE DE PASSAGEIROS LTDA</t>
  </si>
  <si>
    <t>2017/0000003565</t>
  </si>
  <si>
    <t>ANTONIO FERREIRA GONÇALVES</t>
  </si>
  <si>
    <t>2021/0000004258</t>
  </si>
  <si>
    <t>2017/0000001505</t>
  </si>
  <si>
    <t>MADEPRIM MADEIREIRA PRIMUS LTDA EPP</t>
  </si>
  <si>
    <t>2019/0000024386</t>
  </si>
  <si>
    <t>MINERAÇÃO PARAGOMINAS S.A.</t>
  </si>
  <si>
    <t>2017/0000010767</t>
  </si>
  <si>
    <t>SC2 SHOPPING PARÁ LTDA</t>
  </si>
  <si>
    <t>2019/0000018870</t>
  </si>
  <si>
    <t>CENTRAIS ELÉTRICAS DO NORTE DO BRASIL S.A ELETRONORTE</t>
  </si>
  <si>
    <t>2020/0000032437</t>
  </si>
  <si>
    <t>AGROPECUÁRIA TORG</t>
  </si>
  <si>
    <t>2021/0000002552</t>
  </si>
  <si>
    <t>ALAIR CHAVES SAMPAIO</t>
  </si>
  <si>
    <t>Encaminhamento para o setor técnico CIMAM</t>
  </si>
  <si>
    <t>2018/0000045073</t>
  </si>
  <si>
    <t>AMERICAN PETRO DISTRIBUIDORA DE COMBUSTÍVEIS</t>
  </si>
  <si>
    <t>2019/0000032271</t>
  </si>
  <si>
    <t>Encaminhamento para o setor técnico DIGEO</t>
  </si>
  <si>
    <t>2018/0000060329</t>
  </si>
  <si>
    <t>2018/0000009811</t>
  </si>
  <si>
    <t>2020/0000034507</t>
  </si>
  <si>
    <t>AUTO POSTO VALE VERDE</t>
  </si>
  <si>
    <t>2018/0000023515</t>
  </si>
  <si>
    <t>AÇAITEUA LTDA</t>
  </si>
  <si>
    <t>2021/0000035648</t>
  </si>
  <si>
    <t>BELEM BIOENERGIA BRASIL SA</t>
  </si>
  <si>
    <t>2021/0000037819</t>
  </si>
  <si>
    <t>BRASTIMBER – INDÚSTRIA E COMÉRCIO LTDA</t>
  </si>
  <si>
    <t>2020/0000018264</t>
  </si>
  <si>
    <t>CARLOS GADOTTI FILHO</t>
  </si>
  <si>
    <t>2017/0000010784</t>
  </si>
  <si>
    <t>2021/0000016300</t>
  </si>
  <si>
    <t>CERÂMICA VERMELHA INDÚSTRIA E COMÉRCIO LTDA</t>
  </si>
  <si>
    <t>2019/0000021595</t>
  </si>
  <si>
    <t>CONDOMÍNIO GREENVILLE RESIDENCE</t>
  </si>
  <si>
    <t>2017/0000016293</t>
  </si>
  <si>
    <t>CONSTRUFOX CONSTRUÇÕES E INCORPORAÇÕES</t>
  </si>
  <si>
    <t>2019/0000050505</t>
  </si>
  <si>
    <t>2017/0000039299</t>
  </si>
  <si>
    <t>DAVID DOS SANTOS PACHECO</t>
  </si>
  <si>
    <t>2018/0000059541</t>
  </si>
  <si>
    <t>EDSON RODRIGUES DA SILVA JUNIOR</t>
  </si>
  <si>
    <t>2020/0000038177</t>
  </si>
  <si>
    <t>2017/0000003986</t>
  </si>
  <si>
    <t>2021/0000005117</t>
  </si>
  <si>
    <t>FLORESVAL VIVIAN</t>
  </si>
  <si>
    <t>2021/0000000879</t>
  </si>
  <si>
    <t>FRANCISCO JOSE VERAS</t>
  </si>
  <si>
    <t>2019/0000048038</t>
  </si>
  <si>
    <t>GILVANDRO ALVES CORDOVIL DO NASCIMENTO</t>
  </si>
  <si>
    <t>2020/0000026184</t>
  </si>
  <si>
    <t>GUAMÁ TRATAMENTO DE RESÍDUOS LTDA.</t>
  </si>
  <si>
    <t>2021/0000009057</t>
  </si>
  <si>
    <t>2018/0000045663</t>
  </si>
  <si>
    <t>2018/0000056137</t>
  </si>
  <si>
    <t>ITACOLOMI COMÉRCIO LTDA</t>
  </si>
  <si>
    <t>2020/0000033883</t>
  </si>
  <si>
    <t>J F DE OLIVEIRA NAVEGAÇÃO LTDA</t>
  </si>
  <si>
    <t>2018/0000044262</t>
  </si>
  <si>
    <t>J SILVA E AZEVEDO</t>
  </si>
  <si>
    <t>2021/0000003101</t>
  </si>
  <si>
    <t>KOMACOPEX FISH END SEAFOOD</t>
  </si>
  <si>
    <t>2020/0000002396</t>
  </si>
  <si>
    <t>L MAGALHÃES DE SOUZA</t>
  </si>
  <si>
    <t>2020/0000026862</t>
  </si>
  <si>
    <t>LINDOLFO JACOBSEN MULLER</t>
  </si>
  <si>
    <t>2018/0000060319</t>
  </si>
  <si>
    <t>LOCALIZA RENT A CAR S/A</t>
  </si>
  <si>
    <t>2021/0000008304</t>
  </si>
  <si>
    <t>M S TERRAPLANAGEM</t>
  </si>
  <si>
    <t>2017/0000003077</t>
  </si>
  <si>
    <t>M. DO S. F. DE VILHENA</t>
  </si>
  <si>
    <t>2021/0000026535</t>
  </si>
  <si>
    <t>2020/0000007224</t>
  </si>
  <si>
    <t>MAXIMILIAN FRISSO</t>
  </si>
  <si>
    <t>2021/0000001413</t>
  </si>
  <si>
    <t>2020/0000007226</t>
  </si>
  <si>
    <t>2019/0000017600</t>
  </si>
  <si>
    <t>MINERVA SA</t>
  </si>
  <si>
    <t>2014/0000010088</t>
  </si>
  <si>
    <t>MISTRAL ENGENHARIA LTDA</t>
  </si>
  <si>
    <t>2019/0000051082</t>
  </si>
  <si>
    <t>ODAIR JOSE MORAES VIANA</t>
  </si>
  <si>
    <t>2021/0000003321</t>
  </si>
  <si>
    <t>OOLIBAMA LEMOS DE JESUS</t>
  </si>
  <si>
    <t>2019/0000012919</t>
  </si>
  <si>
    <t>PLAMAX LTDA</t>
  </si>
  <si>
    <t>2019/0000013865</t>
  </si>
  <si>
    <t>2018/0000028372</t>
  </si>
  <si>
    <t>POSTO E HOTEL UNIÃO 2R LTDA</t>
  </si>
  <si>
    <t>2021/0000017404</t>
  </si>
  <si>
    <t>POSTO ESPERANÇA COMÉRCIO DE COMBUSTÍVEIS LTDA</t>
  </si>
  <si>
    <t>2018/0000054407</t>
  </si>
  <si>
    <t>2017/0000022620</t>
  </si>
  <si>
    <t>2020/0000034099</t>
  </si>
  <si>
    <t>ROLAND IMMER</t>
  </si>
  <si>
    <t>2018/0000058043</t>
  </si>
  <si>
    <t>SOENERGY – SISTEMAS INTERNACIONAIS DE ENERGIA S/A</t>
  </si>
  <si>
    <t>2021/0000013485</t>
  </si>
  <si>
    <t>2021/0000010880</t>
  </si>
  <si>
    <t>2016/0000045928</t>
  </si>
  <si>
    <t>TELEFÔNICA BRASIL S.A</t>
  </si>
  <si>
    <t>2017/0000003449</t>
  </si>
  <si>
    <t>2020/0000032934</t>
  </si>
  <si>
    <t>USINA DE AÇÚCAR SANTA TEREZINHA</t>
  </si>
  <si>
    <t>2017/0000001105</t>
  </si>
  <si>
    <t>2019/0000031582</t>
  </si>
  <si>
    <t>2015/0000016097</t>
  </si>
  <si>
    <t>WILKENS OLIVEIRA DA COSTA</t>
  </si>
  <si>
    <t>2020/0000033534</t>
  </si>
  <si>
    <t>WILSON DOS SANTOS DIAS</t>
  </si>
  <si>
    <t>2018/0000046460</t>
  </si>
  <si>
    <t>2014/0000025569</t>
  </si>
  <si>
    <t>2019/0000000251</t>
  </si>
  <si>
    <t>2016/0000004526</t>
  </si>
  <si>
    <t>COURO DO NORTE LTDA</t>
  </si>
  <si>
    <t>2019/0000011303</t>
  </si>
  <si>
    <t>DONAVE CONSTRUÇÃO E REPAROS DE EMBARCAÇÕES EIRELI</t>
  </si>
  <si>
    <t>2020/0000026256</t>
  </si>
  <si>
    <t>2018/0000053643</t>
  </si>
  <si>
    <t>2016/0000004704</t>
  </si>
  <si>
    <t>HUGO ZANETTE</t>
  </si>
  <si>
    <t>2020/0000026373</t>
  </si>
  <si>
    <t>ILCEU JOSE BEDIN</t>
  </si>
  <si>
    <t>Convalidação de notificação</t>
  </si>
  <si>
    <t>2015/0000037226</t>
  </si>
  <si>
    <t>2018/0000041373</t>
  </si>
  <si>
    <t>LUIZ ROBERTO CORREA DE VILHENA</t>
  </si>
  <si>
    <t>2021/0000012576</t>
  </si>
  <si>
    <t>2016/0000021026</t>
  </si>
  <si>
    <t>Osvaldo F.F Mansour e Cia</t>
  </si>
  <si>
    <t>2017/0000010771</t>
  </si>
  <si>
    <t>PREFEITURA MUNICIPAL DE SÃO JOÃO DE PIRABAS</t>
  </si>
  <si>
    <t>2017/0000020674</t>
  </si>
  <si>
    <t>SIGELO EIRELI</t>
  </si>
  <si>
    <t>2019/0000010156</t>
  </si>
  <si>
    <t>2021/0000012435</t>
  </si>
  <si>
    <t>2017/0000023882</t>
  </si>
  <si>
    <t>2017/0000010781</t>
  </si>
  <si>
    <t>SALLES E VALLE EMPREENDIMENTOS IMOBILIÁRIOS LTDA</t>
  </si>
  <si>
    <t>2015/0000007632</t>
  </si>
  <si>
    <t>AGROPECUÁRIA UMUARAMA</t>
  </si>
  <si>
    <t>2017/0000003507</t>
  </si>
  <si>
    <t>2016/0000008305</t>
  </si>
  <si>
    <t>MANOEL DUARTE DE JESUS</t>
  </si>
  <si>
    <t>2017/0000035989</t>
  </si>
  <si>
    <t>2017/0000021567</t>
  </si>
  <si>
    <t>2016/0000044713</t>
  </si>
  <si>
    <t>Deusdelio de Moura</t>
  </si>
  <si>
    <t>2017/0000003780</t>
  </si>
  <si>
    <t>2017/0000033757</t>
  </si>
  <si>
    <t>POSTO PARAGOMINAS LTDA</t>
  </si>
  <si>
    <t>2015/0000019465</t>
  </si>
  <si>
    <t>2016/0000040340</t>
  </si>
  <si>
    <t>MADEIREIRA NOVO BRASIL LTDA EPP</t>
  </si>
  <si>
    <t>2017/0000005045</t>
  </si>
  <si>
    <t>SAMPAIO E MORAES LTDA</t>
  </si>
  <si>
    <t>2015/0000016087</t>
  </si>
  <si>
    <t>2017/0000022019</t>
  </si>
  <si>
    <t>JOÃO DE SOUSA BARROS</t>
  </si>
  <si>
    <t>2015/0000029448</t>
  </si>
  <si>
    <t>2017/0000027795</t>
  </si>
  <si>
    <t>2017/0000010288</t>
  </si>
  <si>
    <t>BARBARA CARDOSO MOURÃO</t>
  </si>
  <si>
    <t>2018/0000046954</t>
  </si>
  <si>
    <t>E CARVALHO COMÉRCIO E NAVEGAÇÃO LTDA</t>
  </si>
  <si>
    <t>2018/0000044977</t>
  </si>
  <si>
    <t>2018/0000043501</t>
  </si>
  <si>
    <t>EMPRESA DE TRANSPORTES S E S LTDA.</t>
  </si>
  <si>
    <t>2019/0000008587</t>
  </si>
  <si>
    <t>2019/0000015510</t>
  </si>
  <si>
    <t>CFA CONSTRUÇÕES TERRAPLENAGEM E PAVIMENTAÇÃO LTDA</t>
  </si>
  <si>
    <t>2019/0000008879</t>
  </si>
  <si>
    <t>2019/0000021995</t>
  </si>
  <si>
    <t>PANIFICADORA MIL SABORES</t>
  </si>
  <si>
    <t>50.000 UPFs</t>
  </si>
  <si>
    <t>2019/0000029072</t>
  </si>
  <si>
    <t>PREFEITURA MUNICIPAL DE BRAGANÇA</t>
  </si>
  <si>
    <t>50.001 UPFs</t>
  </si>
  <si>
    <t>2020/0000027074</t>
  </si>
  <si>
    <t>WESLLEY JESUS SILVAI</t>
  </si>
  <si>
    <t>2020/0000013957</t>
  </si>
  <si>
    <t>L MAGALHAES DE SOUZA</t>
  </si>
  <si>
    <t>2017/0000021067</t>
  </si>
  <si>
    <t>IMDEX INDÚSTRIA COMÉRCIO E EXPORTAÇÃO</t>
  </si>
  <si>
    <t>2017/0000029588</t>
  </si>
  <si>
    <t>2017/0000017303</t>
  </si>
  <si>
    <t>JSL S.A.</t>
  </si>
  <si>
    <t>2018/0000026057</t>
  </si>
  <si>
    <t>AGROPALMA</t>
  </si>
  <si>
    <t>2.000 UPFs</t>
  </si>
  <si>
    <t>2018/0000007831</t>
  </si>
  <si>
    <t>2019/0000022078</t>
  </si>
  <si>
    <t>TAPAJOS ALIMENTOS</t>
  </si>
  <si>
    <t>2019/0000015508</t>
  </si>
  <si>
    <t>2 ML INDÚSTRIA DE ARGAMASSAS</t>
  </si>
  <si>
    <t>2019/0000021500</t>
  </si>
  <si>
    <t>IPIRANGA PRODUTOS DE PETRÓLEO S.A</t>
  </si>
  <si>
    <t>2019/0000021459</t>
  </si>
  <si>
    <t>2020/0000033126</t>
  </si>
  <si>
    <t>MAX DOMINI SERVIÇOS PÓSTUMOS</t>
  </si>
  <si>
    <t>2021/0000031189</t>
  </si>
  <si>
    <t>ANDREAS MARTENS</t>
  </si>
  <si>
    <t>2020/0000033057</t>
  </si>
  <si>
    <t>MARCELO NORKEY DUARTE PEREIRA</t>
  </si>
  <si>
    <t>2020/0000036551</t>
  </si>
  <si>
    <t>WESLEY ROCHA VIANA</t>
  </si>
  <si>
    <t>2024/0000018521</t>
  </si>
  <si>
    <t>2018/0000009492</t>
  </si>
  <si>
    <t>2018/0000009496</t>
  </si>
  <si>
    <t>2019/0000039505</t>
  </si>
  <si>
    <t>LAERCIO GONÇALVES DA SILVA</t>
  </si>
  <si>
    <t>2017/0000039308</t>
  </si>
  <si>
    <t>MIGUEL PORTO RODRIGUES</t>
  </si>
  <si>
    <t>2018/0000045659</t>
  </si>
  <si>
    <t>2019/0000043292</t>
  </si>
  <si>
    <t>CUPIXI FLORESTAL LTDA</t>
  </si>
  <si>
    <t>2019/0000047699</t>
  </si>
  <si>
    <t>EDVANIO TORRES PASCOAL DE SOUSA</t>
  </si>
  <si>
    <t>2019/0000022590</t>
  </si>
  <si>
    <t>WALLISTON GOMES BARROS</t>
  </si>
  <si>
    <t>Linha 1</t>
  </si>
  <si>
    <t>01 - Processo: 21563/2017
Recorrente: ESTALEIRO RIO MAGUARI
Infração: Contrariar o art. 81, inciso IV, do Decreto Estadual 6.381/2001, que dispõe: “Constitui infração das normas de utilização dos recursos hídricos superficiais, meteóricos e subterrâneos, emergentes ou em depósito: IV. Perfurar poços para extração de água subterrânea ou operá-los sem a devida outorga”, em face de ter perfurado um poço tubular para captação de águas subterrâneas sem outorga emitida por órgão ambiental competente.
Parecer Jurídico: Aplicada penalidade de multa simples no valor de 7.501 UPF’s.
Sugestão de julgamento: Manutenção da penalidade de multa simples aplicada no valor de 7.501 UPF’s.
Parecerista: Ana Carla Pinho
OBS: Processo prescrito em 05/03/2023, a partir da certidão de admissibilidade (05/03/2020). Prescrição não suscitada até a presente data.</t>
  </si>
  <si>
    <t>Giovanni Glins</t>
  </si>
  <si>
    <t>28/03/25 09:20</t>
  </si>
  <si>
    <t>Linha 2</t>
  </si>
  <si>
    <t>02 - Processo: 44456/2018
Recorrente: IRINEU BERTOLINI E CIA – POSTO VOLANTE DE OURO
Infração: Contrariar o art. 81, do Decreto Federal 6.514/2008, em face de deixar de apresentar o Relatório de Informação Ambiental Anual – RIAA, período de 2012/2013, condicionante do Anexo I da LO nº 4409/2010, no prazo determinado pela autoridade ambiental.
Parecer Jurídico: Aplicada penalidade de multa simples no valor de 8.000 UPF’s.
Sugestão de julgamento: Minoração do valor da penalidade de multa simples aplicada no valor de 8.000 UPF’s para 250 UPF’s.
Parecerista: Amanda Bezerra</t>
  </si>
  <si>
    <t>Linha 3</t>
  </si>
  <si>
    <t>03 - Processo: 21498/2018
Recorrente: MS TERRAPLENAGEM 
Infração: Contrariar o art. 81 e art. 66, inciso II, do Decreto Federal 6.514/2008, em face de deixar de atender integralmente as condicionantes durante a vigência da LO nº 4398/2010, apresentando o Relatório de Informação Ambiental Anual (RIAA) somente dos anos 2011/2012.
Manifestação Jurídica: Aplicada penalidade de multa simples no valor de 10.000 UPF’s.
Sugestão de julgamento: Manutenção da penalidade de multa simples aplicada no valor de 10.000 UPF’s.
Parecerista: Jonathas Valente</t>
  </si>
  <si>
    <t>Linha 4</t>
  </si>
  <si>
    <t>04 - Processo: 18732/2018
Recorrente: MAX DOMINI SERVIÇOS PÓSTUMOS 
Infração: Deixar de atender, integralmente, as condicionantes da LO nº 9345/2015, itens 1, 4, 5 e 6, quais sejam: 1. Apresentar medidas de controle para enquadramento dos parâmetros físico-químicos e bacteriológicos dos poços de monitoramento, que devem estar dentro dos padrões estabelecidos pelo MS; 4. Utilizar como embasamento para o monitoramento da qualidade da água para abastecimento a Portaria do Ministério da Saúde; 5. Monitorar trimestralmente o lençol freático, com análise dos parâmetros estabelecidos, devendo os resultados serem anexados aos RIAA’s, com laudos laboratoriais em anexo, e acompanhada da respectiva Anotação de Responsabilidade Técnica. Devendo também registrar o nível do lençol freático a cada coleta realizada e 6. Monitorar trimestralmente o córrego que perpassa o empreendimento, com a análise dos parâmetros estabelecidos, devendo esses resultados serem anexados aos RIAA’s, com laudos laboratoriais em anexo e, acompanhada da respectiva Anotação de Responsabilidade Técnica. 
Parecer Jurídico: Aplicada penalidade de multa simples no valor de 7.500 UPF’s.
Sugestão de julgamento: Manutenção da penalidade de multa simples aplicada no valor de 7.500 UPF’s.
Parecerista: Jonathas Valente
OBS: O autuado não solicitou em recurso a prescrição, mas o processo prescreveu entre a Notificação de 07/05/2018, e o Parecer Jurídico de 30/01/2022, por tanto transcorrendo mais de 3 (três) anos, assim configurando a prescrição intercorrente, art. 29, § 2º da Lei nº 9.575/2022.</t>
  </si>
  <si>
    <t>28/03/25 09:21</t>
  </si>
  <si>
    <t>Linha 5</t>
  </si>
  <si>
    <t>05 - Processo: 38632/2018
Recorrente: CHESTHER GOMES PEDRO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permanecer com equipamentos Balsa Draga Gonçalves V e Balsa Draga Salmo 23, em área não licenciada, haja vista que a Licença de Operação nº 11112/2018, com validade até 01/02/2020, estava suspensa.
Parecer Jurídico: Aplicada penalidade de multa simples no valor de 7.500 UPF’s e a manutenção do Termo de Apreensão.
Sugestão de julgamento: Manutenção da penalidade de multa simples aplicada no valor de 7.500 UPF’s, bem como a manutenção do Termo de Apreensão.
Parecerista: Talita Fernandes
Obs: Processo com prescrição intercorrente, não suscitada em recurso, ocorrida no período entre a AIA (07/08/2018) e Laudo Técnico Semas (12/08/2022).</t>
  </si>
  <si>
    <t>Linha 6</t>
  </si>
  <si>
    <t>06 - Processo: 47218/2018
Recorrente: J. E. G BATISTA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posto revendedor sem licença do órgão ambiental competente.
Parecer Jurídico: Aplicada penalidade de multa simples no valor de 50.000 UPF’s
Sugestão de julgamento: Minoração do valor da 
penalidade de multa simples aplicada de 50.000 UPF’s para 7.501 UPF’s.
Parecerista: Talita Fernandes 
Obs: Processo com prescrição intercorrente, não suscitada em recurso, ocorrida no período entre a Notificação AIA (02/10/2018) e PJ (20/11/2021).</t>
  </si>
  <si>
    <t>Linha 7</t>
  </si>
  <si>
    <t>07 - Processo: 38271/2022
Recorrente: OURILANDIA DO NORTE TRANSMISSORA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estar em desacordo com a Licença de Operação nº 11115/2018, por deixar de apresentar licença válida para destinação de resíduos sólidos gerados pelo empreendimento.
Parecer Jurídico: Aplicada penalidade de multa simples no valor de 10.000 UPF’s.
Sugestão de julgamento: Manutenção da penalidade de multa simples aplicada de 10.000 UPF’s.
Parecerista: Ana Carla Pinho 
OBS: Houve pedido de encaminhamento ao GEPAS anterior ao julgamento em Plenária. Contudo, foi sugerido no PCA o indeferimento do pedido face à ausência de justificativa plausível</t>
  </si>
  <si>
    <t>28/03/25 09:22</t>
  </si>
  <si>
    <t>Linha 8</t>
  </si>
  <si>
    <t>08 - Processo: 12899/2024
Recorrente: PATAUÁ ECO INDÚSTRIA DE BENEFICIAMENTO DE RESÍDUOS DE MADEIRA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estar em desacordo com a Licença de Operação nº 755/2023 e condicionantes.
Manifestação Jurídica: Aplicada penalidade de multa simples no valor de R$ 550.500,00 (quinhentos e cinquenta mil e quinhentos reais).
Sugestão de julgamento: Cancelamento do auto de infração.
Parecerista: Victor Oliveira</t>
  </si>
  <si>
    <t>Linha 9</t>
  </si>
  <si>
    <t>09 - Processo: 33582/2017
Recorrente: RAIMUNDO DE JESUS PINHO DE OLIVEIRA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informação falsa, quando anexou registro fotográfico do poço que não confere com a realidade, constatado em vistoria realizada pelo setor competente. 
Parecer Jurídico: Aplicada penalidade de multa simples no valor de 8.000 UPF’s.
Sugestão de julgamento: Minoração do valor da penalidade de multa simples aplicada no valor de 8.000 UPF’s para 250 UPF’s.
Parecerista: Jailson Pereira</t>
  </si>
  <si>
    <t>Linha 10</t>
  </si>
  <si>
    <t>10 - Processo: 34222/2017
Recorrente: R &amp; M COM. SERV. DE RESTAURANTE E HOTELARIA 
Infração: Contrariar o art. 12, inciso II, do Lei Estadual 6.381/2001, que dispõe: “Estão sujeitos à outorga pelo Poder Público os direitos dos seguintes usos dos recursos hídricos: II. Extração de água de aquífero subterrâneo para consumo final ou insumo de processo produtivo”, em face de captar água subterrânea em 2 poços tubulares, sem a devida Outorga de Recursos Hídricos.
Parecer Jurídico: Aplicada penalidade de multa simples no valor de 7.501 UPF’s.
Sugestão de julgamento: Manutenção da penalidade de multa simples aplicada no valor de 7.501 UPF’s.
Parecerista: Talita Fernandes</t>
  </si>
  <si>
    <t>28/03/25 09:23</t>
  </si>
  <si>
    <t>Linha 11</t>
  </si>
  <si>
    <t>11 - Processo: 13847/2017
Recorrente: TRIGO E CIA PANIFICADORA E CONFEITARIA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10.000 UPF’s.
Sugestão de julgamento: Manutenção da penalidade de multa simples aplicada no valor de 10.000 UPF’s.
Parecerista: Amanda Bezerra 
OBS: O processo prescreveu no período de 07/05/2019, data de entrega da AR referente a Notificação nº 102438, até a presente data, não houve mais movimentação neste ínterim, por tanto transcorrendo mais de 3 (três) anos, assim configurando a prescrição intercorrente, art. 29, § 2º da Lei nº 9.575/2022.</t>
  </si>
  <si>
    <t>Linha 12</t>
  </si>
  <si>
    <t>12 - Processo: 17801/2017
Recorrente: MATEUS SUPERMERCADO – HIPER MATEUS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a notificação nº 84391/2016.
Parecer Jurídico: Aplicada penalidade de multa simples no valor de 7.501 UPF’s.
Sugestão de julgamento: Manutenção da penalidade de multa simples aplicada no valor de 7.501 UPF’s.
Parecerista: Jonathas Valente</t>
  </si>
  <si>
    <t>Linha 13</t>
  </si>
  <si>
    <t>13 - Processo: 33729/2017
Recorrente: CONDOMÍNIO RESIDENCIAL CASTANHEIRA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realizar perfuração de 2 poços sem a Outorga Preventiva e de Direito de Uso de Recursos Hídricos, desrespeitando a legislação vigente quanto a regulação de perfuração dos poços.
Parecer Jurídico: Aplicada penalidade de multa simples no valor de 1.500 UPF’s.
Sugestão de julgamento: Manutenção da penalidade de multa simples aplicada no valor de 1.500 UPF’s.
Parecerista: Jonathas Valente
OBS: Sugestão de majoração no valor de 10.000 UPF, referente ao porte econômico da autuada.</t>
  </si>
  <si>
    <t>28/03/25 09:24</t>
  </si>
  <si>
    <t>Linha 14</t>
  </si>
  <si>
    <t>14 - Processo: 4537/2018
Recorrente: E.T.R. CONSTRUTORA E INCORPORADORA 
Infração: Contrariar o art. 81, inciso I, da Lei Estadual 6.381/2001, que dispõe: “Constitui infração das normas de utilização dos recursos hídricos superficiais, meteóricos e subterrâneos, emergentes ou em depósitos: I. Derivar ou utilizar recursos hídricos sem a respectiva outorga de direito de uso”, em face de estar realizando captação de águas subterrâneas através de 2 poços tubulares sem a outorga emitida por órgão ambiental competente.
Parecer Jurídico: Aplicada penalidade de multa simples no valor de 5.500 UPF’s.
Sugestão de julgamento: Manutenção da penalidade de multa simples aplicada no valor de 5.500 UPF’s.
Parecerista: Jonathas Valente 
OBS: Sugestão de majoração no valor de 10.000 UPF, referente ao porte econômico da empresa.</t>
  </si>
  <si>
    <t>Linha 15</t>
  </si>
  <si>
    <t>15 - Processo: 24476/2018
Recorrente: SÉRGIO FERNANDES OLIVEIRA – FAZENDA INOCÊNCIA 
Infração: Contrariar o art. 12, inciso I, da Lei Estadual 6.381/2001, que dispõe: “2. Estão sujeitos à outorga pelo Poder Público os direitos dos seguintes usos dos recursos hídricos: I. derivação ou captação de parcela da água existente em um corpo de água para o consumo final, inclusive abastecimento público ou insumo de processo produtivo”, em face de captar, derivar e utilizar água sem outorga de direito de uso, em um corpo hídrico, prolongamento do igarapé Uraim que passa no interior de sua propriedade.
Parecer Jurídico: Aplicada penalidade de multa simples no valor de 7.500 UPF’s.
Sugestão de julgamento: Manutenção da penalidade de multa simples aplicada no valor de 7.500 UPF’s.
Parecerista: Talita Fernandes 
Obs: Processo com prescrição intercorrente, não suscitada em recurso, ocorrida no período entre a Notificação AIA (11/07/2018) e PJ (28/04/2022).</t>
  </si>
  <si>
    <t>Linha 16</t>
  </si>
  <si>
    <t>16 - Processo: 26990/2018
Recorrente: CASFRISA FRIGORÍFICO INDUSTRIAL DE CASTANHAL
Infração: Deixar de cumprir os itens 1, 2 e 5 do Anexo I da Outorga º 733/2012, quais sejam: 1. Adequar o sistema de tratamento do efluente do empreendimento, com a finalidade de aumentar a concentração de OD para que este parâmetro esteja de acordo com as resoluções CONAMA; 2. Realizar cadastro nacional de usuários de recursos hídricos – CNARH e encaminhar comprovante do cadastro a esta SEMAS e 5. Protocolar o histórico das vazões lançadas (diária e mensalmente), através de um relatório anual com resultado das medições realizadas.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Notificação AIA (06/07/2018) e Notificação de Penalidade (19/11/2021) e PJ (25/11/2021).</t>
  </si>
  <si>
    <t>28/03/25 09:25</t>
  </si>
  <si>
    <t>Linha 17</t>
  </si>
  <si>
    <t>17 - Processo: 29238/2018
Recorrente: GUASCOR DO BRASIL 
Infração: Deixar de cumprir os itens 4 e 5 das condicionantes da Declaração de Dispensa de Outorga nº 757/2015 no prazo estabelecido, quais sejam: 4. Realizar monitoramento da qualidade da água do poço através de análises físico-químicas e bacteriológicas, de acordo com os padrões de potabilidade descritos na Portaria do Ministério da Saúde e 5. Realizar limpeza e desinfecção do poço por empresa credenciada no CREA/PA, conforme decisão Normativa do CONFEA.
Parecer Jurídico: Aplicada penalidade de multa simples no valor de 7.501 UPF’s.
Sugestão de julgamento: Manutenção da penalidade de multa simples aplicada no valor de 7.501 UPF’s.
Parecerista: Jailson Pereira 
OBS. Processo prescrito.</t>
  </si>
  <si>
    <t>Linha 18</t>
  </si>
  <si>
    <t>18 - Processo: 42141/2019
Recorrente: ASSOCIAÇÃO SURUBIM DE ANAPU - ASPRAN
Infração: Contrariar o art. 43, do Decreto Federal 6.514/2008, em face de desmatar 2,1533 hectares de florestas ou demais formas de vegetação natural ou utilizá-las com infringência das normas de proteção em área considerada de preservação permanente sem licença do órgão ambiental ou com ele em desacordo.
Parecer Jurídico: Aplicada penalidade de multa simples no valor de 7.501 UPF’s e a manutenção do Termo de Embargo.
Sugestão de julgamento: Manutenção da penalidade de multa simples aplicada no valor de 7.501 UPF’s, bem como a manutenção do Termo de Embargo.
Parecerista: Jailson Pereira</t>
  </si>
  <si>
    <t>Linha 19</t>
  </si>
  <si>
    <t>19 - Processo: 42142/2019
Recorrente: ASSOCIAÇÃO SURUBIM DE ANAPU - ASPRAN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6,1085 hectares de florestas ou demais formas de vegetação natural em área de uso alternativo de solo sem licença do órgão ambiental ou com ele em desacordo.
Parecer Jurídico: Aplicada penalidade de multa simples no valor de 1.500 UPF’s e a manutenção do Termo de Embargo.
Sugestão de julgamento: Minoração do valor da penalidade de multa simples aplicada de 1.500 UPF’s para 375 UPF’s e o cancelamento do Termo de Embargo.
Parecerista: Jailson Pereira</t>
  </si>
  <si>
    <t>28/03/25 09:26</t>
  </si>
  <si>
    <t>Linha 20</t>
  </si>
  <si>
    <t>20 - Processo: 42144/2019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15,6091 hectares de florestas ou demais formas de vegetação natural ou utilizá-la com infringência das normas de proteção em área de reserva legal.
Parecer Jurídico: Aplicada penalidade de multa simples no valor de 15.000 UPF’s e a manutenção do Termo de Embargo.
Sugestão de julgamento: Manutenção da penalidade de multa simples aplicada no valor de 15.000 UPF’s, bem como a manutenção do Termo de Embargo.
Parecerista: Jailson Pereira</t>
  </si>
  <si>
    <t>Linha 21</t>
  </si>
  <si>
    <t>21 - Processo: 42151/2019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26,4419 hectares de florestas ou demais formas de vegetação natural ou utilizá-la com infringência das normas de proteção em área de reserva legal.
Parecer Jurídico: Aplicada penalidade de multa simples no valor 8.000 UPF’s e a manutenção do Termo de Embargo.
Sugestão de julgamento: Manutenção da penalidade de multa simples aplicada no valor de 8.000 UPF’s, bem como a manutenção do Termo de Embargo.
Parecerista: Jailson Pereira
OBS: Processo prescrito, não suscitado em recurso.</t>
  </si>
  <si>
    <t>Linha 22</t>
  </si>
  <si>
    <t>19 - Processo: 34455/2020
Recorrente: ELDORADO DO XINGU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TEM-2-S/20-09-0049.
Parecerista: Victor Oliveira</t>
  </si>
  <si>
    <t>Tra Semas</t>
  </si>
  <si>
    <t>24/02/25 10:05</t>
  </si>
  <si>
    <t>referente a plenaria do dia 12-03-25</t>
  </si>
  <si>
    <t>28/03/25 09:27</t>
  </si>
  <si>
    <t>22 - Processo: 34455/2020
Recorrente: ELDORADO DO XINGU
Infração: Contrariar o art. 50, do Decreto Federal 6.514/2008: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Parecerista: Victor Oliveira</t>
  </si>
  <si>
    <t>Linha 23</t>
  </si>
  <si>
    <t>23 - Processo: 28301/2022
Recorrente: CLAUDIO ROBERTO VIAN - FAZENDA DOM PEDRITO 
Infração: Contrariar o art. 50, do Decreto Federal 6514/2008, em face de destruir ou danificar 166,057 hectares de florestas ou qualquer tipo de vegetação nativa ou de espécies nativas plantadas, objeto de especial preservação, sem autorização ou licença da autoridade ambiental competente.
Parecer Jurídico: Aplicada penalidade de multa simples no valor de 181.356 UPF’s e a manutenção do Termo de Embargo.
Sugestão de julgamento: Manutenção da penalidade de multa simples aplicada no valor de 181.356 UPF’s, bem como a manutenção do Termo de Embargo até a adesão ao PRA.
Parecerista: Ana Carla Pinho</t>
  </si>
  <si>
    <t>Linha 24</t>
  </si>
  <si>
    <t>24 - Processo: 10344/2024
Recorrente: RAUDEYCK DE OLIVEIRA BESSA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32,4496 hectares de vegetação nativa sem autorização ou licença da autoridade ambiental competente.
Manifestação Jurídica: Aplicada penalidade de multa simples no valor de R$ 165.000,00 (cento e sessenta e cinco mil reais) e a manutenção do Termo de Embargo.
Sugestão de julgamento: Cancelamento da penalidade de multa simples aplicada e a manutenção do Termo de Embargo até a adesão ao PRA.
Parecerista: Ana Carla Pinho</t>
  </si>
  <si>
    <t>28/03/25 09:28</t>
  </si>
  <si>
    <t>Linha 25</t>
  </si>
  <si>
    <t>25 - Processo: 44636/2017
Recorrente: NOVA ERA IND. COM. EXPORT. DE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ou enganosa nos sistemas oficiais de controle (CEPROF/SISFLORA).
Parecer Jurídico: Aplicada penalidade de multa simples no valor de 7.500 UPF’s.
Sugestão de julgamento: Manutenção da penalidade de multa simples aplicada no valor de 7.500 UPF’s.
Parecerista: Jonathas Valente 
OBS: Sugestão de majoração de multa para 50.001 UPF, referente a cubagem da madeira que foi de aproximadamente 2.200 m³, pois ficou evidenciado o dolo e a vantagem pecuniária da autuada.</t>
  </si>
  <si>
    <t>28/03/25 09:29</t>
  </si>
  <si>
    <t>Linha 26</t>
  </si>
  <si>
    <t>26 - Processo: 17521/2017
Recorrente: CRS LAMINADOS E FAQUEADOS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sistema oficial de controle CEPROF 1437, ao afirmar possuir 603,7002 m³ de diversas espécies e produtos não localizados no pátio da garagem da empresa no momento da cubagem.
Parecer Jurídico: Aplicada penalidade de multa simples no valor de 7.501 UPF’s.
Sugestão de julgamento: Manutenção da penalidade de multa simples aplicada no valor de 7.501 UPF’s, assim como estorno do crédito vegetal, recomendando o GESFLORA a verificar a reposição e o bloqueio do CEPROF até a total regularização junto à SEMAS.
Parecerista: Amanda Bezerra 
OBS.: Sugestão de majoração de multa para 20.000 UPF, referente ao débito de crédito vegetal junto ao sistema CEPROF.</t>
  </si>
  <si>
    <t>Linha 27</t>
  </si>
  <si>
    <t>27 - Processo: 27780/2017
Recorrente: COMPANHIA DE SANEAMENTO DO TOCANTIS – SANEANTINS – BRK AMBIENTAL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relatório técnico sobre outorga de direito de uso de recursos hídricos com informações divergentes ou incompletas. Os relatórios se referem à solicitação de outorga para captação de águas subterrâneas.
Parecer Jurídico: Aplicada penalidade de multa simples no valor de 50.000 UPF’s.
Sugestão de julgamento: Minoração do valor da penalidade de multa simples aplicada de 50.000 UPF’s para 7.501 UPF’s.
Parecerista: Amanda Bezerra</t>
  </si>
  <si>
    <t>28/03/25 09:30</t>
  </si>
  <si>
    <t>Linha 28</t>
  </si>
  <si>
    <t>28 - Processo: 9776/2018
Recorrente: SANTA FÉ INDÚSTRIA E COMÉRCIO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no valor de 35.000 UPF’s.
Sugestão de julgamento: Manutenção da penalidade de multa simples aplicada no valor de 35.000 UPF’s.
Parecerista: Talita Fernandes</t>
  </si>
  <si>
    <t>Linha 29</t>
  </si>
  <si>
    <t>29 - Processo: 36468/2017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(13/10/2015) o nascimento de 08 filhotes de Curió no sistema informatizado de gestão de criação de passeriformes (SISPASS), todos nascidos no dia 03/10/2015.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</si>
  <si>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30</t>
  </si>
  <si>
    <t>30 - Processo: 36475/2017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(02/09/2015) o nascimento de 08 filhotes de Curiós no sistema informatizado de gestão de criação de passeriformes (SISPASS), todos nascidos no dia 02/09/2015.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</si>
  <si>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28/03/25 09:31</t>
  </si>
  <si>
    <t>Linha 31</t>
  </si>
  <si>
    <t>31 - Processo: 36492/2017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(08/11/2013) o nascimento de 08 filhotes de Curiós no sistema informatizado de gestão de criação de passeriformes (SISPASS), todos nascidos no dia 29/20/1013.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</si>
  <si>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32</t>
  </si>
  <si>
    <t>32 - Processo: 17369/2017
Recorrente: ROSSIMA INDÚSTRIA E COMÉRCIO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165,1038 m³ de madeiras serradas e em tora de diversas espécies, sem licença válida para todo o tempo de armazenamento.
Parecer Jurídico: Aplicada penalidade de multa simples no valor de 15.400 UPF’s.
Sugestão de julgamento: Manutenção da penalidade de multa simples aplicada no valor de 15.400 UPF’s.
Parecerista: Ana Carla Pinho</t>
  </si>
  <si>
    <t>Linha 33</t>
  </si>
  <si>
    <t>33 - Processo: 35992/2017
Recorrente: F. J. COMÉRCIO E INDÚSTRIA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312,3741 m³ de madeira em tora sem autorização do órgão ambiental competente ou com ele em desacordo, no total de 227 toras. 
Parecer Jurídico: Aplicada penalidade de multa simples no valor de 20.000 UPF’s e a manutenção do Termo de Apreensão e Depósito.
Sugestão de julgamento: Manutenção da penalidade de multa simples aplicada no valor de 20.000 UPF’s, bem como a manutenção do Termo de Apreensão e Depósito, com doação da madeira apreendida.
Parecerista: Talita Fernandes</t>
  </si>
  <si>
    <t>28/03/25 09:32</t>
  </si>
  <si>
    <t>Linha 34</t>
  </si>
  <si>
    <t>34 - Processo: 47692/2019
Recorrente: ANDRÉ LUIS BRANCO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estar transportando 13,36 m³ de produto de origem florestal (portais de madeira), sem documentação de origem ou autorização do órgão ambiental competente, conforme o TCO da PRF.
Parecer Jurídico: Aplicada penalidade de multa simples no valor de 2.000 UPF’s.
Sugestão de julgamento: Manutenção da penalidade de multa simples aplicada no valor de 2.000 UPF’s, a devolução do veículo apreendido e o envio dos autos à DIFISC para autuação do empreendimento emissor da nota fiscal apresentada pelo autuado.
Parecerista: Ana Carla Pinho</t>
  </si>
  <si>
    <t>Linha 35</t>
  </si>
  <si>
    <t>35 - Processo: 13783/2019
Recorrente: CRISIONEL CAMPÊLO COSTA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em face de deixar atender a notificação, recebida conforme aviso de recebimento em 24/09/2018, a qual notifica o senhor em questão a realiza no dia 22/10/2018 a entrega de 4 aves silvestres, sendo 3 curiós machos e 1 fêmea, no prédio da SEMAS, já que declarou no documento, protocolado nesta secretaria em 11/07/2014, possuir os animais.
Parecer Jurídico: Aplicada penalidade de multa simples no valor de 1.000 UPF’s.
Sugestão de julgamento: Manutenção da penalidade de multa simples aplicada no valor de 1.000 UPF’s.
Parecerista: Jonathas Valente
OBS: O autuado não solicitou em recurso a prescrição, mas o processo prescreveu entre a Notificação de 26/06/2019, e a Manifestação Jurídica (Despacho ao COEMA) de 14/09/2022, portanto transcorrendo mais de 3 (três) anos, assim configurando a prescrição intercorrente, art. 29, § 2º da Lei nº 9.575/2022.</t>
  </si>
  <si>
    <t>Linha 36</t>
  </si>
  <si>
    <t>36 - Processo: 42138/2019
Recorrente: ASSOCIAÇÃO SURUBIM DE ANAPU – ASPRAN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15.000 UPF’s.
Sugestão de julgamento: Manutenção da penalidade de multa simples aplicada no valor de 15.000 PF’s.
Parecerista: Jailson Pereira</t>
  </si>
  <si>
    <t>28/03/25 09:33</t>
  </si>
  <si>
    <t>Linha 37</t>
  </si>
  <si>
    <t>37 - Processo: 41509/2021
Recorrente: IMERYS RIO CAPIM CAULIM 
Infração: Contrariar o art. 15, da Lei Estadual 5.887/1995, que dispõe: “A acumulação de resíduos que ofereça, comprovados riscos de poluição ambiental, na área de propriedade da fonte geradora do risco ou em outros locais, somente será permitida mediante observância das cautelas necessárias, com aquiescência do órgão ambiental”, em face de contribuir com a poluição do solo ao despejar resíduos oriundos do rescaldo da reação de oxidação de hidrossulfito de sódio ocorrida no galpão de armazenamento do produto.
Parecer Jurídico: Aplicada penalidade de multa simples no valor de 50.000 UPF’s.
Sugestão de julgamento: Manutenção da penalidade de multa simples aplicada no valor de 50.000 UPF’s.
Parecerista: Ana Carla Pinho</t>
  </si>
  <si>
    <t>Linha 38</t>
  </si>
  <si>
    <t>01 - Processo: 33998/2020
Recorrente: SERGIO OLIVEIRA GONÇALVES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7,11 hectares de 
vegetação nativa objeto de especial preservação.
Parecer Jurídico: Aplicada penalidade de multa simples no valor de 7.501 UPF’s e a manutenção do Termo 
de Embargo.
Sugestão de julgamento: Manutenção da penalidade de multa simples aplicada no valor de 7.501 UPF’s, 
bem como a manutenção do Termo de Embargo até a adesão ao PRA.
Parecerista: Rafael Amaral</t>
  </si>
  <si>
    <t>08/04/25 06:06</t>
  </si>
  <si>
    <t>Linha 39</t>
  </si>
  <si>
    <t>02 - Processo: 36205/2020
Recorrente: ANDRÉ LUIZ MARAFÃO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13,84 hectares de vegetação nativa objeto de especial preservação.
Parecer Jurídico: Aplicada penalidade de multa simples no valor de 15.000 UPF’s e a manutenção do Termo de Embargo.
Sugestão de julgamento: Minoração do valor da penalidade de multa simples aplicada de 15.000 UPF’s para 14.580 UPF’s e a manutenção do Termo de Embargo até a comprovação de adesão ao PRA.
Parecerista: Jossandra Pinheiro</t>
  </si>
  <si>
    <t>08/04/25 06:08</t>
  </si>
  <si>
    <t>Linha 40</t>
  </si>
  <si>
    <t>03 - Processo: 25278/2020
Recorrente: RUSO LUIZ BEZERRA COLARES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1,96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Sugestão de julgamento: Cancelamento do auto de infração, da penalidade de multa simples aplicada e do Termo de Embargo.
Parecerista: Jossandra Pinheiro</t>
  </si>
  <si>
    <t>08/04/25 06:09</t>
  </si>
  <si>
    <t>Linha 41</t>
  </si>
  <si>
    <t>04 - Processo: 34082/2020
Recorrente: CENTRO UNIVERSITÁRIO LUTERANO DE SANTARÉM – CEULS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10,247 hectares de vegetação nativa objeto de especial preservação, bioma amazônico.
Parecer Jurídico: Aplicada penalidade de multa simples no valor de 10.000 UPF’s e a manutenção do Termo de Embargo.
Sugestão de julgamento: Cancelamento da penalidade de multa aplicada e manutenção do Termo de Embargo até a adesão ao PRA.
Parecerista: Lucíula Cunha</t>
  </si>
  <si>
    <t>08/04/25 06:10</t>
  </si>
  <si>
    <t>Linha 42</t>
  </si>
  <si>
    <t>05 - Processo: 26687/2020
Recorrente: JARI CELULOSE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37,40 hectares de florestas ou demais formas de vegetação natural ou utilizá-la com infringência das normas de proteção em área de reserva legal sem licença do órgão ambiental ou com ele em desacordo.
Parecer Jurídico: Aplicada penalidade de multa simples no valor de 42.791 UPF’s e a manutenção do Termo de Embargo.
Sugestão de julgamento: Manutenção da penalidade de multa simples aplicada no valor de 42.791 UPF’s, bem como a manutenção do Termo de Embargo, até a adesão ao PRA. 
Parecerista: Rodolfo Santos</t>
  </si>
  <si>
    <t>08/04/25 06:14</t>
  </si>
  <si>
    <t>Linha 43</t>
  </si>
  <si>
    <t>06 – Processo: 10329/2024
Recorrente: VALDEMAR LIMPER 
Infração: Contrariar o art. 57, do Decreto Federal 6.514/2008, em face de portar ou utilizar em floresta ou demais formas de vegetação, motosserra sem licença ou registro da autoridade ambiental competente.
Manifestação Jurídica: Aplicada penalidade de multa no valor de R$ 1.000,00 (um mil reais) e a manutenção do Termo de Apreensão e Depósito.
Sugestão de julgamento: Manutenção da penalidade de multa aplicada no valor de R$1.000,00 (um mil reais), bem como a manutenção do Termo de Apreensão e Depósito e o perdimento do bem.   
Parecerista: Jossandra Pinheiro</t>
  </si>
  <si>
    <t>Linha 44</t>
  </si>
  <si>
    <t>07 - Processo: 3079/2021
Recorrente: ROSEVI PEREIRA DOS SANTOS 
Infração: Contrariar o art. 43, do Decreto Federal 6.514/2008, em face de destruir ou danificar 1,5 hectares de florestas ou demais formas de vegetação ou utilizá-las com infringência das normas de proteção em área considerada de preservação permanente, sem autorização do órgão competente, quando exigível, ou em desacordo com a obtida.
Parecer Jurídico: Aplicada penalidade de multa simples no valor de 4.000 UPF’s.
Sugestão de julgamento: Manutenção da penalidade de multa simples aplicada no valor de 4.000 UPF’s e o cancelamento do Termo de Embargo.
Parecerista: Rafael Amaral</t>
  </si>
  <si>
    <t>Linha 45</t>
  </si>
  <si>
    <t>08 - Processo: 41404/2021
Recorrente: CÍCERO LUIZ BREHN DAVILA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161,51 hectares de vegetação nativa, objeto de especial preservação, sem autorização ou licença da autoridade ambiental competente.
Parecer Jurídico: Aplicada penalidade de multa simples no valor de 196.000 UPF’s e a manutenção do Termo de Embargo.
Sugestão de julgamento: Cancelamento da penalidade de multa simples aplicada e a manutenção do Termo de Embargo até a adesão ao PRA.
Parecerista: Rodolfo Santos</t>
  </si>
  <si>
    <t>08/04/25 06:15</t>
  </si>
  <si>
    <t>Linha 46</t>
  </si>
  <si>
    <t>09 - Processo: 34355/2021
Recorrente: ATAIDES DE SOUZA PINTO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0,924 hectares de vegetação nativa dentro do Bioma Amazônico, sem autorização ou licença da autoridade ambiental competente.
Parecer Jurídico: Aplicada penalidade de multa simples no valor de 7.500 UPF’s e a manutenção do Termo de Embargo.
Sugestão de julgamento: Minoração do valor da penalidade de multa simples aplicada de 7.500 UPF’s para 1.050 UPF’s e a manutenção do Termo de Embargo, até adesão ao PRA.
Parecerista: Lucíula Cunha</t>
  </si>
  <si>
    <t>Linha 47</t>
  </si>
  <si>
    <t>10 - Processo: 41370/2021
Recorrente: NAYMA CARLA PINHEIRO DE MACEDO 
Infração: Contrariar o art. 50, do Decreto Federal 6.514/2008, em face de destruir 102,78 hectares de florestas ou qualquer tipo de vegetação nativa ou de espécies nativas plantadas, objeto de especial preservação, sem autorização ou licença de autoridade ambiental competente.
Parecer Jurídico: Aplicada penalidade de multa simples no valor de 515.000 UPF’s e a manutenção do Termo de Embargo.
Sugestão de julgamento: Cancelamento da penalidade de multa aplicada, a manutenção do Termo de Embargo e o encaminhamento dos autos para DIFISC para identificação do real infrator.  
Parecerista: Jossandra Pinheiro</t>
  </si>
  <si>
    <t>Linha 48</t>
  </si>
  <si>
    <t>11 - Processo: 52384/2023
Recorrente: DANILO FREITAS SILVA 
Infração: Contrariar o art. 50, do Decreto Federal 6.514/2008, em face de desmatar (destruir) 26,359 hectares de vegetação nativa, objeto de especial preservação, sem autorização ou licença da autoridade ambiental competente.
Manifestação Jurídica: Aplicada penalidade de multa no valor de R$ 135.000,00 (cento e trinta e cinco mil reais) e a manutenção do Termo de Embargo.
Sugestão de julgamento: Cancelamento da penalidade de multa simples aplicada e a manutenção do Termo de Embargo até a adesão ao PRA.
Parecerista: Victor Oliveira</t>
  </si>
  <si>
    <t>Linha 49</t>
  </si>
  <si>
    <t>12 - Processo: 58494/2023
Recorrente: JOÃO AFONSO REMPEL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14,932 hectares de vegetação nativa, objeto de especial preservação, Bioma Amazônico, sem autorização ou licença do órgão ambiental competente.
Manifestação Jurídica: Aplicada penalidade de multa no valor de R$ 101.250,00 (cento e um mil, duzentos e cinquenta reais) e a manutenção do Termo de Embargo.
Sugestão de julgamento: Manutenção da penalidade de multa simples aplicada no valor de R$ 101.250,00 (cento e um mil, duzentos e cinquenta reais), bem como a manutenção do Termo de Embargo até a adesão ao PRA.
Parecerista: Victor Oliveira</t>
  </si>
  <si>
    <t>Linha 50</t>
  </si>
  <si>
    <t>13 - Processo: 49387/2023
Recorrente: FRANCISCO DE ASSIS SILVA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47,561 hectares de vegetação nativa, objeto de especial preservação, Bioma Amazônico, sem autorização ou licença do órgão competente.
Manifestação Jurídica: Aplicada penalidade de multa no valor de R$ 324.000,00 (trezentos e vinte e quatro mil reais) e a manutenção do Termo de Embargo.
Sugestão de julgamento: Minoração do valor da penalidade de multa simples aplicada de R$ 324.000,00 (trezentos e vinte e quatro mil reais) para R$ 243.000,00 (duzentos e quarenta e três mil reais). Encaminhamento dos autos à GESFLORA, para manifestar-se acerca da necessidade de estorno e/ou cumprimento da reposição florestal, bem como, suspensão do CEPROF e continuidade do embargo da área até a adesão ao PRA. 
Parecerista: Rodolfo Santos</t>
  </si>
  <si>
    <t>Linha 51</t>
  </si>
  <si>
    <t>14 - Processo: 59112/2023
Recorrente: JOÃO AFONSO REMPEL
Infração: Contrariar o art. 50, do Decreto Federal 6.514/2008, em face de desmatar 18,999 hectares de floresta ou qualquer tipo de vegetação nativa ou de espécies nativas plantadas, objeto de especial preservação, sem autorização ou licença da autoridade ambiental competente.
Manifestação Jurídica: Aplicada penalidade de multa no valor de R$ 94.995,00 (noventa e quatro mil, novecentos e noventa e cinco reais) e a manutenção do Termo de Embargo.
Sugestão de julgamento: Manutenção da penalidade de multa simples aplicada no valor de R$ 94.995,00 (noventa e quatro mil novecentos e noventa e cinco reais), bem como a manutenção do Termo de Embargo até a adesão ao PRA.
Parecerista: Victor Oliveira</t>
  </si>
  <si>
    <t>Linha 52</t>
  </si>
  <si>
    <t>15 - Processo: 31387/2024
Recorrente: JOSIVALDO SILVA DO NASCIMENTO 
Infração: Contrariar o art. 50, do Decreto Federal 6.514/2008, em face de destruir com uso de fogo 122,767 hectares de florestas ou qualquer tipo de vegetação nativa ou de espécies nativas plantadas, objeto de especial preservação, sem autorização ou licença da autoridade ambiental competente.
Manifestação Jurídica: Aplicada penalidade de multa no valor de R$ 830.250,00 (oitocentos e trinta mil, duzentos e cinquenta reais) e a manutenção do Termo de Embargo.
Sugestão de julgamento: Manutenção da penalidade de multa simples aplicada no valor de R$ 830.250,00 (oitocentos e trinta mil, duzentos e cinquenta reais), bem como a manutenção do Termo de Embargo até a adesão ao PRA.
Parecerista: Victor Oliveira</t>
  </si>
  <si>
    <t>08/04/25 06:16</t>
  </si>
  <si>
    <t>Linha 53</t>
  </si>
  <si>
    <t>16 - Processo: 16148/2024
Recorrente: JOACELE CARDOSO DA SILVA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9,524 hectares de vegetação nativa, objeto de especial preservação, bioma amazônico, sem autorização ou licença do órgão competente.
Manifestação Jurídica: Aplicada penalidade de multa no valor de R$ 47.620,00 (quarenta e sete mil, seiscentos e vinte reais) e a manutenção do Termo de Embargo.
Sugestão de julgamento: Manutenção da penalidade de multa simples aplicada no valor de R$ 47.620,00 (quarenta e sete mil, seiscentos e vinte reais), bem como a manutenção do Termo de Embargo até adesão ao PRA.
Parecerista: Lucíula Cunha</t>
  </si>
  <si>
    <t>Linha 54</t>
  </si>
  <si>
    <t>17 - Processo: 24461/2024
Recorrente: FABRÍCIO RENTE DOS SANTOS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a atividade de exploração florestal, sem a devida licença ou autorização do órgão ambiental competente, na área da Fazenda Dr. Kleber II.
Manifestação Jurídica: Aplicada penalidade de multa no valor de R$ 110.500,00 (cento e dez mil e quinhentos reais)
Sugestão de julgamento: Manutenção da penalidade de multa simples aplicada no valor de R$ 110.500,00 (cento e dez mil e quinhentos reais).
Parecerista: Lucíula Cunha</t>
  </si>
  <si>
    <t>Linha 55</t>
  </si>
  <si>
    <t>18 - Processo: 16914/2024
Recorrente: MILANES LIMA DE OLIVEIRA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11,130 hectares de vegetação nativa, objeto de especial preservação, bioma amazônico, sem autorização ou licença do órgão competente.
Manifestação Jurídica: Aplicada penalidade de multa no valor de R$ 55.650,00 (cinquenta e cinco mil, seiscentos e cinquenta reais).
Sugestão de julgamento: Manutenção da penalidade de multa simples aplicada no valor de R$ 55.650,00 (cinquenta e cinco mil, seiscentos e cinquenta reais), bem como a manutenção do embargo até a devida adesão ao PRA.
Parecerista: Rafael Amaral</t>
  </si>
  <si>
    <t>Linha 56</t>
  </si>
  <si>
    <t>19 - Processo: 26330/2024
Recorrente: JACKSON DOUGLAS SANTANA FERREIRA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Manifestação Jurídica: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</si>
  <si>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57</t>
  </si>
  <si>
    <t>20 - Processo: 26532/2024
Recorrente: JOSÉ LUIZ DE OLIVEIRA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Parecer Jurídico: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</si>
  <si>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58</t>
  </si>
  <si>
    <t>21 - Processo: 19316/2019
Recorrente: ANTONIO DE SOUSA 
Infração: Contrariar o art. 51-A, do Decreto Federal 6.514/2008, em face de executar manejo florestal sem autorização prévia do órgão ambiental competente, sem observar os requisitos técnicos estabelecidos em PMFS ou em desacordo com a autorização concedida.
Parecer Jurídico: Aplicada penalidade de multa simples no valor de 14.000 UPF’s e a manutenção da apreensão.
Sugestão de julgamento: Minoração do valor da penalidade de multa simples aplicada de 14.000 UPF’s para de 12.600 UPF’s e a manutenção do Termo de Interdição até a comprovação do saneamento da irregularidade.
Parecerista: 	Jossandra Pinheiro</t>
  </si>
  <si>
    <t>08/04/25 06:17</t>
  </si>
  <si>
    <t>Linha 59</t>
  </si>
  <si>
    <t>22 - Processo: 21951/2022
Recorrente: IDENOR TENÓRIO MAGALHÃES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ou guardar madeira em tora (237,75 m³ - 148 toras) sem licença válida para todo o tempo do armazenamento, outorgada pela autoridade competente ou em desacordo com a obtida em PMFS. 
Parecer Jurídico: Aplicada penalidade de multa simples no valor de 15.000 UPF’s e a manutenção do Termo de Apreensão e Depósito.
Sugestão de julgamento: Manutenção da penalidade de multa simples aplicada no valor de 15.000 UPF’s, bem como a manutenção do Termo de Apreensão e Depósito.
Parecerista: Rodolfo Santos</t>
  </si>
  <si>
    <t>Linha 60</t>
  </si>
  <si>
    <t>23 - Processo: 4315/2022
Recorrente: JEREMIAS ALMEIDA DOS SANTOS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comercializar 109.219,7602 m³ de madeira em tora de diversas espécies, sem licença ou autorização do órgão ambiental competente.
Parecer Jurídico: Aplicada penalidade de multa simples no valor de 50.000 UPF’s.
Sugestão de julgamento: Retorno dos autos processuais à Julgadoria de 1ª Instância para que seja realizada a devida análise de acordo com a infração cometida.
Parecerista: Rafael Amaral</t>
  </si>
  <si>
    <t>Linha 61</t>
  </si>
  <si>
    <t>24 - Processo: 11384/2023
Recorrente: DARLAN WESSLING
Infração: Contrariar o art. 64, do Decreto Federal 6.514/2008, que dispõe: “Produzir, processar, embalar, importar, exportar, comercializar, fornecer, transportar, armazenar, guardar, ter em depósito ou usar produto ou substância tóxica, perigosa ou nociva à saúde humana ou ao meio ambiente, em desacordo com as exigências estabelecidas em leis ou em seus regulamentos”, ter em depósito produto perigoso (combustível derivado de petróleo), 5.000 litros de diesel – substância tóxica, perigosa ou nociva à saúde humana ou ao meio ambiente em desacordo com as exigências estabelecidas em leis ou em seus regulamentos.  
Manifestação Jurídica: Aplicada penalidade de multa no valor de R$ 868.700,00 (oitocentos e sessenta e oito mil e setecentos reais) e o perdimento dos bens apreendidos.
Sugestão de julgamento: Minoração do valor da penalidade de multa simples aplicada de R$ 868.700,00 (oitocentos e sessenta e oito mil e setecentos reais) para R$ 86.800,00 (oitenta e seis mil e oitocentos reais)  e verificação da possibilidade de devolução dos itens apreendidos (tanque e bomba de combustível) haja vista que estes são passíveis de regularização.
Parecerista: Rafael Amaral</t>
  </si>
  <si>
    <t>Linha 62</t>
  </si>
  <si>
    <t>25 - Processo: 17736/2024
Recorrente: CIDADE TRANSPORTE
Infração: Contrariar o art. 62, inciso III e V, do Decreto Federal 6.514/2008, que dispõe: “Incorre nas mesmas multas do art. 61, quem: III. Causar poluição hídrica que torne necessária a interrupção do abastecimento público de água de uma comunidade; V. Lançar resíduos sólidos, líquidos ou gasosos ou detritos, óleos ou substâncias oleosas em desacordo com as exigências estabelecidas em leis ou atos normativos”, em face de causar, como autoria, a contaminação do corpo hídrico de óleo ou substâncias oleosas, causando impacto ambiental e social para a comunidade local ocorrido pelo naufrágio no Rio Cajuuba no dia 07/04/2024.
Manifestação Jurídica: Aplicada penalidade de multa no valor de R$ 6.885.000,00 (seis milhões, oitocentos e oitenta e cinco mil reais).
Sugestão de julgamento: Minoração do valor da multa simples aplicada de R$ 6.885.000,00 (seis milhões e oitocentos e oitenta e cinco mil reais) para R$ 3.500.000,00 (três milhões e quinhentos mil reais).  
Parecerista: Victor Oliveira</t>
  </si>
  <si>
    <t>Linha 63</t>
  </si>
  <si>
    <t>26 - Processo: 37015/2024
Recorrente: IS BARBOSA COMÉRCIO DE COMBUSTÍVEL 
Infração: Contrariar o art. 66, do Decreto Federal 6.514/2008, em face de fazer funcionar a atividade de abastecimento via “bunker” – óleo diesel marítimo, em desacordo com os termos estabelecidos na Licença de Operação LO nº 13391/2022 e na sua renovação Licença de Operação nº 14280/2023. Visto o seu desenvolvimento em área fora das poligonais permitidas, não condizendo com o autorizado nas licenças.
Parecer Técnico Decisório: Aplicada penalidade de multa no valor de R$ 1.010.500,00 (um milhão, dez mil e quinhentos reais).
Sugestão de julgamento: Manutenção da penalidade de multa simples aplicada no valor de R$ 1.010.500,00 (um milhão, dez mil e quinhentos reais).
Parecerista: Lucíula Cunha</t>
  </si>
  <si>
    <t>Linha 64</t>
  </si>
  <si>
    <t>27 - Processo: 14948/2024
Recorrente: JOSÉ RIBAMAR BARROS DA COSTA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148,248 m³ de madeira nativa em tora sem identificação de número de custódia, UPA e UT, sem licença válida para todo o tempo de armazenamento, outorgada pela autoridade competente.
Manifestação Jurídica: Aplicada penalidade de multa no valor de R$ 40.026,96 (quarenta mil, vinte e seis reais e noventa e seis centavos) e a manutenção do Termo de Apreensão.
Sugestão de julgamento: Manutenção da penalidade de multa simples aplicada no valor de R$ 40.026,96 (quarenta mil, vinte seis reais e noventa e seis centavos), bem como a manutenção do Termo de Apreensão e Depósito.
Parecerista: Rodolfo Santos</t>
  </si>
  <si>
    <t>08/04/25 06:18</t>
  </si>
  <si>
    <t>Linha 65</t>
  </si>
  <si>
    <t>28 - Processo: 32600/2017
Recorrente: EMPRESA BRASILEIRA DE INFRAESTRUTURA AEROPORTUÁRIA – INFRAERO 
Infração: Deixar de atender as condicionantes, itens 2, 4, 5, 6 e 7, constantes no Anexo I da Outorga nº 1105/2013 e desobedecer às normas legais ou regulamentares, quais sejam: 2. Instalar hidrômetro na tubulação de saída dos poços, encaminhando a descrição da especificação técnica do equipamento e registro fotográfico dos poços em detalhe panorâmica, após a instalação dos hidrômetros; 4. Encaminhar metodologia de tratamento da qualidade da água dos poços para adequar o parâmetro pH que está fora dos padrões de potabilidade estabelecido pela Portaria do Ministério da Saúde; 5. Realizar monitoramento da qualidade da água através de análises bacteriológica e físico-química dos poços, de acordo com os padrões de potabilidade descritos na Portaria do Ministério da Saúde; 6. Realizar limpeza e desinfecção dos poços por empresa credenciada no CREA/PA e 7. Realizar acompanhamento o acompanhamento do volume captado de acordo com o Anexo disponível no site da SEMAS.
Parecer Jurídico: Aplicada penalidade de multa simples no valor de 4.000 UPF’s.
Sugestão de julgamento: Manutenção da penalidade de multa simples aplicada no valor de 4.000 UPF’s.
Parecerista: Jossandra Pinheiro</t>
  </si>
  <si>
    <t>08/04/25 06:19</t>
  </si>
  <si>
    <t>Linha 66</t>
  </si>
  <si>
    <t>29 - Processo: 7795/2021
Recorrente: NICOLA SEBASTIÃO TANCREDI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3,05 hectares de florestas ou demais formas de vegetação natural ou utilizá-la com infringências em área de reserva legal sem licença ambiental ou com ele em desacordo.
Parecer Jurídico: Aplicada penalidade de multa simples no valor de 3.390 UPF’s e a manutenção do Termo de Embargo.
Sugestão de julgamento: Cancelamento da penalidade de multa simples aplicada, a manutenção do embargo até a devida comprovação de adesão ao PRA e o encaminhamento dos autos à DIFISC para autuação dos reais infratores.
Parecerista: Rafael Amaral</t>
  </si>
  <si>
    <t>Linha 67</t>
  </si>
  <si>
    <t>30 - Processo: 17937/2022
Recorrente: PREFEITURA MUNICIPAL DE ORIXIMINÁ 
Infração: Contrariar o art. 12, inciso II, da Lei Estadual 6.381/2001, que dispõe: “Estão sujeitos à outorga pelo Poder Público os direitos dos seguintes usos dos recursos hídricos: II - extração de água de aquífero subterrâneo para consumo final ou insumo de processo produtivo”, em face de captar água subterrânea para insumo de processo produtivo, sem a devida Outorga de Direito de Uso dos Recursos Hídricos.
Parecer Jurídico: Aplicada penalidade de multa simples no valor de 2.000 UPF’s.
Sugestão de julgamento: Manutenção da penalidade de multa simples aplicada no valor de 2.000 UPF’s.
Parecerista: Jossandra Pinheiro
Obs: Passível de majoração para 10.000 UPF’s.</t>
  </si>
  <si>
    <t>Linha 68</t>
  </si>
  <si>
    <t>31 - Processo: 29199/2023
Recorrente: JARI CELULOSE 
Infração: Deixar de cumprir os itens 3, 4 e 6 referentes ao ano de 2020, das condicionantes da Outorga nº  
3583/2019, contrariando as exigências do órgão ambiental competente, quais sejam: 3. Realizar monitoramento mensal das vazões vertidas e encaminhar o Relatório Anual de Acompanhamento do Volume Vertido, disponível no site da SEMAS, apresentando ART; 4. Descrever a metodologia utilizada no monitoramento de vazão vertida pelo reservatório e 6. Realizar estudo hidrométrico do corpo hídrico a montante do barramento.
Manifestação Jurídica: Aplicada penalidade de multa no valor de R$ 50.000,00 (cinquenta mil reais).
Sugestão de julgamento: Minoração do valor da penalidade de multa aplicada de R$ 50.000,00 (cinquenta mil reais) para R$ 32.500,00 (trinta e dois mil e quinhentos reais).
Parecerista: Rafael Amaral</t>
  </si>
  <si>
    <t>Linha 69</t>
  </si>
  <si>
    <t>32 - Processo: 26202/2024
Recorrente: LUPERCÍNIO RICHARD OLIVEIRA PEREIRA 
Infração: Contrariar o art. 81, incisos I e II, da Lei Estadual 6.381/2001, que dispõe: “Constitui infração das normas de utilização dos recursos hídricos superficiais, meteóricos e subterrâneos, emergentes ou em depósitos: I - derivar ou utilizar recursos hídricos sem a respectiva outorga de direito de uso; II - iniciar a implantação ou implantar empreendimento relacionados com a derivação ou utilização de recursos hídricos superficiais, subterrâneos e meteóricos que implique alterações no regime, quantidade ou qualidade dos membros, sem a autorização dos órgãos ou entidades competentes”, em face de ter realizado obra hídrica com interface no corpo hídrico e derivação de fluxo da água sem Outorga.
Parecer Técnico Decisório: Aplicada penalidade de multa no valor de R$ 100.500,00 (cem mil e quinhentos reais).
Sugestão de julgamento: Cancelamento da penalidade de multa simples no valor de R$ 100.500,00 (cem mil e quinhentos reais) e a manutenção do Termo de Notificação. 
Parecerista: Rodolfo Santos</t>
  </si>
  <si>
    <t>Linha 70</t>
  </si>
  <si>
    <t>33 Processo: 27464/2020
Recorrente: PREFEITURA MUNICIPAL DE URUARÁ 
Infração: Contrariar o art. 13, §1 e §3, da Lei Estadual 5.887/1995, que dispõe: “O Poder Público manterá, sob sua responsabilidade, áreas especificamente destinadas para disposição final de resíduos de qualquer natureza, cabendo-lhe a elaboração e aprovação dos projetos necessários e específicos relativos a essa utilização do solo: §1 No caso de utilização de solo de propriedade privada para disposição final de resíduos de qualquer natureza, deve ser observado projeto específico licenciado pelo órgão ambiental competente; §3 Os resíduos portadores de microorganismos patogênicos ou de alta toxicidade, bem como inflamáveis, explosivos, radioativos e outros classificados como perigosos, antes de sua disposição final no solo, deverão ser submetidas a tratamento e acondicionamento adequados”, em face de realizar aterramento de resíduos hospitalares em desacordo com a legislação vigente.
Parecer Jurídico: Aplicada penalidade de multa simples no valor de 40.000 UPF’s.
Sugestão de julgamento: Manutenção da penalidade de multa simples aplicada no valor de 40.000 UPF’s, que poderá ser revestida em Gestão de Resíduos Sólidos Municipais, executado pela própria Municipalidade, mediante a assinatura de Termo de Compromisso com o Estado.
Parecerista: Lucíula Cunha</t>
  </si>
  <si>
    <t>08/04/25 06:20</t>
  </si>
  <si>
    <t>Linha 71</t>
  </si>
  <si>
    <t>34 - Processo: 14541/2024
Recorrente: JOSÉ RIBAMAR BARROS DA COSTA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total ou parcialmente falsas, enganosas no Sistema de Comercialização e Transporte de Produtos Florestais – SISFLORA, durante procedimento administrativo ambiental.
Manifestação Jurídica: Aplicada penalidade de multa no valor de R$ 716.100,00 (setecentos e dezesseis mil e cem reais).        
Sugestão de julgamento: Manutenção da penalidade de multa simples aplicada no valor de R$ 716.100,00 (setecentos e dezesseis mil e cem reais), bem como a manutenção do Termo de Apreensão e Depósito.
Parecerista: Lucíula Cunha</t>
  </si>
  <si>
    <t>Linha 72</t>
  </si>
  <si>
    <t>01 - Processo: 28231/2017
Recorrente: SAMUEL ZOPPE BRANDÃO FILHO
Infração: Contrariar o Art. 53, do Decreto Federal 6.514/2008 e Art. 38, da Lei 12.651/2012, que dispõem: “Art. 53 Explorar ou danificar floresta ou qualquer tipo de vegetação nativa ou de espécies nativas plantadas, localizada fora de área de reserva legal averbada, de domínio público ou privado, sem aprovação prévia do órgão ambiental competente ou em desacordo com a concedida” e “Art. 38 É proibido uso de fogo na vegetação”, em face de danificar com uso de fogo 71,3323 hectares de florestas ou demais formas de vegetação natural ou utilizá-la com infringência das normas de proteção em área de uso alternativo do solo sem licença do órgão ambiental.
Parecer Jurídico: Aplicada penalidade de multa simples no valor de 50.000 UPF’s.
Sugestão de julgamento: Cancelamento da penalidade de multa aplicada no valor de 50.000 UPF’s. Sugere-se ainda a manutenção do auto de infração, bem como a manutenção do Termo de Embargo até a adesão ao PRA.
Parecerista: Rafael Amaral</t>
  </si>
  <si>
    <t>19/03/25 04:38</t>
  </si>
  <si>
    <t>Linha 73</t>
  </si>
  <si>
    <t>02 - Processo: 28232/2017
Recorrente: SAMUEL ZOPPE BRANDÃO FILHO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169,1192 hectares de vegetação nativa sem autorização ou licença da autoridade ambiental competente.
Parecer Jurídico: Aplicada penalidade de multa simples no valor de 50.001 UPF’s.
Sugestão de julgamento: Cancelamento da penalidade de multa aplicada e a permanência do embargo da área, até adesão ao PRA.
Parecerista: Lucíula Cunha</t>
  </si>
  <si>
    <t>19/03/25 04:39</t>
  </si>
  <si>
    <t>Linha 74</t>
  </si>
  <si>
    <t>03 - Processo: 36165/2020
Recorrente: JOSÉ VALTER FORÇA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158,15 hectares de vegetação nativa, localizada fora de área de reserva legal, dentro do Bioma Amazônico, sem aprovação prévia do órgão ambiental competente.
Parecer Jurídico: Aplicada penalidade de multa simples no valor de 50.000 UPF’s.
Sugestão de julgamento: Cancelamento do auto de infração, bem como o cancelamento da penalidade de multa aplicada e o cancelamento do Termo de Embargo.
Parecerista: Rafael Amaral</t>
  </si>
  <si>
    <t>Linha 75</t>
  </si>
  <si>
    <t>04 - Processo: 20012/2020
Recorrente: THALES BARROS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32,98 hectares de vegetação nativa sem autorização ou licença da autoridade ambiental competente.
Parecer Jurídico: Aplicada penalidade de multa simples no valor de 50.000 UPF’s.
Sugestão de julgamento: Baixar em diligência para encaminhamento à CFISC com a seguinte solicitação: informar se o polígono de desmatamento se trata de desmatamento de vegetação primária ou secundária.
Parecerista: Rodolfo Santos 
Obs: Valor da multa justificável devido o desmatamento ter atingido área de reserva legal.</t>
  </si>
  <si>
    <t>Linha 76</t>
  </si>
  <si>
    <t>05 - Processo: 35267/2020
Recorrente: LAERTI VINICIUS LUCREDI FRANCHETTI 
Infração: Contrariar o Art. 50, do Decreto Federal 6.514/2008, que dispõe: “Destruir ou danificar florestas ou qualquer tipo de vegetação nativa ou de espécies nativas plantadas, objeto de especial preservação sem a autorização ou licença da autoridade ambiental competente”, em face de desmatar 28,28 hectares de vegetação nativa, dentro do Bioma Amazônico, sem autorização prévia do órgão ambiental competente.
Parecer Jurídico: Aplicada penalidade de multa simples no valor de 7.501 UPF’s e a manutenção do Termo de Embargo.
Sugestão de julgamento: Manutenção da penalidade de multa simples aplicada no valor de 7.501 UPF’s, bem como a manutenção do Termo de Embargo até adesão ao PRADA.
Parecerista: Rodolfo Santos 
Obs: O valor da multa deve ser majorado para 29.000 UPF’s conforme art. 50 do Decreto nº 6514, de 2008.</t>
  </si>
  <si>
    <t>19/03/25 04:41</t>
  </si>
  <si>
    <t>Linha 77</t>
  </si>
  <si>
    <t>06 - Processo: 30663/2021
Recorrente: JOSÉ CARMINATI   
Infração: Contrariar o Art. 81, incisos I, VI, e VIII, da Lei Estadual 6.381/2001 e Art. 93, da Lei Estadual 5.887/1995, em face de utilizar recurso hídrico para fins de regularização de vazão de curso d’água através de barramento de terra sem a devida Outorga de Direito de Uso emitida pelo órgão ambiental competente.
Parecer Jurídico: Aplicada penalidade de multa simples no valor de 5.000 UPF’s.
Sugestão de julgamento: Manutenção da penalidade de multa simples aplicada no valor de 5.000 UPF’s.
Parecerista: Rodolfo Santos</t>
  </si>
  <si>
    <t>Linha 78</t>
  </si>
  <si>
    <t>07 - Processo: 2370/2021
Recorrente: JOSÉ VALTER FORÇA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10,06 hectares de florestas ou demais formas de vegetação natural ou utilizá-la com infringência das normas de proteção em área de reserva legal sem licença do órgão ambiental ou com ele em desacordo.
Parecer Jurídico: Aplicada penalidade de multa simples no valor de 12.586 UPF’s.
Sugestão de julgamento: Cancelamento do auto de infração, bem como o cancelamento da penalidade de multa aplicada e o cancelamento do Termo de Embargo.
Parecerista: Rafael Amaral</t>
  </si>
  <si>
    <t>19/03/25 04:42</t>
  </si>
  <si>
    <t>Linha 79</t>
  </si>
  <si>
    <t>08 - Processo: 14081/2021
Recorrente: ELIZABETE APARECIDA LUCREDI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9,42 hectares de vegetação nativa, dentro do Bioma Amazônico, sem autorização prévia do órgão ambiental competente.
Parecer Jurídico: Aplicada penalidade de multa simples no valor de 12.000 UPF’s e a manutenção do Termo de Embargo.
Sugestão de julgamento: Manutenção da penalidade de multa simples aplicada no valor de 12.000 UPF’s, bem como a manutenção do Termo de Embargo.
Parecerista: Victor Oliveira</t>
  </si>
  <si>
    <t>Linha 80</t>
  </si>
  <si>
    <t>09 - Processo: 13807/2022
Recorrente: MAGNU SERVIÇOS 
AGROFLORESTAIS LTDA 
Infração: Contrariar o Art. 20, da Lei Estadual 6.462/2002, que dispõe: “A exploração dos recursos da flora natural, bem como das atividades que provoquem alteração da cobertura vegetal natural, fica sujeita ao prévio licenciamento do órgão competente”, em face de explorar recurso da flora natural (50 árvores) sem o prévio licenciamento do órgão ambiental competente.
Parecer Jurídico: Aplicada penalidade de multa simples no valor de 100.000 UPF’s.
Sugestão de julgamento: Cancelamento da penalidade de multa aplicada e o perdimento do bem (trator guincho amarelo D50), com a possibilidade de futura doação, nos termos do 
Decreto Estadual nº 204/2019.
Parecerista: Lucíula Cunha</t>
  </si>
  <si>
    <t>Linha 81</t>
  </si>
  <si>
    <t>10 - Processo: 43207/2023
Recorrente: MARCO ANTONIO SIVIERO 
Infração: Contrariar o Art. 50, do Decreto Federal 6.514/2008, que dispõe: “Destruir ou danificar ou qualquer tipo de vegetação nativa ou de espécies plantadas, objeto de especial preservação, sem autorização ou licença da autoridade ambiental competente”, em face de destruir 25,41 hectares de vegetação nativa, sem licença ou autorização do órgão ambiental competente.
Manifestação Jurídica: Aplicada penalidade de multa simples no valor de R$ 7.800,00 (sete mil e oitocentos reais).
Sugestão de julgamento: Manutenção da penalidade de multa simples aplicada no valor de R$ 7.800,00 (sete mil e oitocentos reais).
Parecerista: Rafael Amaral
Obs: verificar possibilidade de majoração para R$ 130.000,00 (cento e trinta mil reais), com base no Decreto Federal 6.514/2005.</t>
  </si>
  <si>
    <t>19/03/25 04:43</t>
  </si>
  <si>
    <t>Linha 82</t>
  </si>
  <si>
    <t>11 - Processo: 23825/2024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11,99 hectares de vegetação nativa sem licença ou autorização de órgão ambiental competente.
Manifestação Jurídica: Aplicada penalidade de multa simples no valor de R$ 126.000, 00 (cento e vinte e seis mil reais), manutenção do 
Termo de Embargo e o perdimento do bem apreendido.
Sugestão de julgamento: Manutenção da penalidade de multa simples aplicada no valor de R$ 126.000,00 (cento e vinte seis mil reais). Assim como, sugere-se a manutenção do Termo de Embargo n° 00028/2024 até adesão ao PRA e o perdimento do bem em favor do estado.
Parecerista: Lucíula Cunha</t>
  </si>
  <si>
    <t>Linha 83</t>
  </si>
  <si>
    <t>12 - Processo: 24944/2024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29,77 hectares de vegetação nativa sem licença ou autorização de órgão ambiental competente.
Manifestação Jurídica: Aplicada penalidade de multa simples no valor de R$ 315.000,00 (trezentos e quinze mil reais) e a manutenção do Termo de Embargo. 
Sugestão de julgamento: Manutenção da penalidade de multa simples aplicada no valor de R$ 315.000,00 (trezentos e quinze mil reais), bem como a manutenção do Termo de Embargo n° 00027/2024 até adesão ao PRA.
Parecerista: Lucíula Cunha</t>
  </si>
  <si>
    <t>19/03/25 04:44</t>
  </si>
  <si>
    <t>Linha 84</t>
  </si>
  <si>
    <t>13 - Processo: 29977/2017
Recorrente: ALIANÇA COMÉRCIO LTDA 
Infração: Contrariar o Art. 81, do Decreto Federal 6.514/2008, que dispõe: “Deixar de apresentar relatórios ou informações ambientais nos prazos exigidos pela legislação ou, quando aplicável, naquele determinado pela autoridade ambiental”, em face de deixar de cumprir as condicionantes elencadas no Anexo I da Licença de Operação nº 6789/2012 até a data de 18/04/2017.
Parecer Jurídico: Aplicada penalidade de multa simples no valor de 7.000 UPF’s.
Sugestão de julgamento: Minoração do valor da penalidade de multa simples aplicada de 7.000 UPF’s para 4.550 UPF’s.
Parecerista: Rafael Amaral</t>
  </si>
  <si>
    <t>19/03/25 04:45</t>
  </si>
  <si>
    <t>Linha 85</t>
  </si>
  <si>
    <t>14 - Processo: 34518/2017
Recorrente: HOSPITAL SÃO PAULO LTDA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deixar de cumprir as condicionantes da Outorga 1112/2013, com validade até 11/08/2017.
Parecer Jurídico: Aplicada penalidade de multa simples no valor de 15.000 UPF’s.
Sugestão de julgamento: Manutenção da penalidade de multa simples aplicada no valor 
de 15.000 UPF’s.
Parecerista: Rafael Amaral</t>
  </si>
  <si>
    <t>19/03/25 04:47</t>
  </si>
  <si>
    <t>Linha 86</t>
  </si>
  <si>
    <t>15 - Processo: 34923/2020
Recorrente: AMETA ENGENHARIA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ou regulamentos pertinentes: II. Deixar de atender a condicionantes estabelecidas na licença ambiental”, em face de deixar de cumprir/cumprir parcialmente algumas condicionantes do verso da Licença de Operação 10973/2018, contrariando as exigências legais.
Parecer Jurídico: Aplicada penalidade de multa simples no valor de 7.501 UPF’s.
Sugestão de julgamento: Manutenção da penalidade de multa simples aplicada no valor de 7.501 UPF’s.
Parecerista: Rafael Amaral
Obs: verificar possibilidade de majoração para 20.000 UPF’s – Capital Social: 10 milhões de reais.</t>
  </si>
  <si>
    <t>19/03/25 04:48</t>
  </si>
  <si>
    <t>Linha 87</t>
  </si>
  <si>
    <t>16 - Processo: 28103/2018
Recorrente: PAULO ROBERTO SHINTARO 
SASAMOTO
Infração: Contrariar o Art. 81, inciso I, da Lei Estadual 6.381/2001 e Art. 70, da Lei Federal 9.605/1998, que dispõem: “Art. 81 Constitui infração das normas de utilização dos recursos hídricos superficiais, meteóricos e subterrâneos, emergentes ou em depósito: I. Derivar ou utilizar recursos hídricos sem a respectiva outorga de direito de uso”; “Art. 70 Considera-se infração administrativa ambiental toda ação ou omissão que viole as regras jurídicas de uso, gozo, promoção, proteção e recuperação do meio ambiente”, em face de derivar recurso hídrico com implantação de barragem para fins de aproveitamento hidrelétrico sem a respectiva outorga de direito de uso emitida pelo órgão ambiental competente.
Parecer Jurídico: Aplicada penalidade de multa simples no valor de 50.000 UPF’s.
Sugestão de julgamento: Minoração do valor da penalidade de multa simples aplicada de 50.000 UPF’s para 32.500 UPF’s.
Parecerista: Jossandra Pinheiro</t>
  </si>
  <si>
    <t>Linha 88</t>
  </si>
  <si>
    <t>17 - Processo: 30677/2021
Recorrente: JOSÉ CARMINATI
Infração: Contrariar o Art. 81, incisos I, IV e VI, da Lei Estadual 6.381/2001, que dispõe: “Constitui infração das normas de utilização dos recursos hídricos superficiais, meteóricos e subterrâneos, emergentes ou em depósitos: I. Derivar ou utilizar de recursos hídricos sem a respectiva outorga de direito de uso;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utilizar de recurso hídrico a partir de poço tubular, sem a devida outorga de direito de uso de recursos hídricos ou declaração de dispensa de outorga, emitida pelo órgão ambiental competente.
Parecer Jurídico: Aplicada penalidade de multa simples no valor de 6.000 UPF’s.
Sugestão de julgamento: Manutenção da penalidade de multa simples aplicada no valor de 6.000 UPF’s.
Parecerista: Victor Oliveira</t>
  </si>
  <si>
    <t>19/03/25 04:50</t>
  </si>
  <si>
    <t>Linha 89</t>
  </si>
  <si>
    <t>18 - Processo: 41680/2019
Recorrente: AUTO POSTO NAZARÉ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1 poço tubular, sem a devida Outorga de Uso de Recursos Hídricos.
Parecer Jurídico: Aplicada penalidade de multa simples no valor de 3.000 UPF’s.
Sugestão de julgamento: Manutenção da penalidade de multa simples aplicada no valor de 3.000 UPF’s.
Parecerista: Victor Oliveira 
Obs.: O processo encontra-se prescrito, conforme art. 29, § 2º da Lei nº 9.575/2022, porém não foi suscitado pela autuada. Última movimentação em 18/03/2020. Não sugerindo a majoração em virtude da prescrição.</t>
  </si>
  <si>
    <t>19/03/25 04:51</t>
  </si>
  <si>
    <t>Linha 90</t>
  </si>
  <si>
    <t>19 - Processo: 6941/2019
Recorrente: MC PRODUTOS AGRO-PECUÁRIOS LTDA 
Infração: Deixar de cumprir os itens 1, 3, 4, 5, 6, 7 e 8 do Anexo I das condicionantes da Outorga 841/2013, quais sejam: 1. Realizar cadastro nacional de usuário de recursos hídricos; 3. Construir laje de proteção em torno do poço 1 e encaminhar registro fotográfico; 4. Construir cerca de proteção em torno do poço 1 e encaminhar registro fotográfico; 5. Instalar hidrômetro na tubulação de saída do poço 1, encaminhando a descrição da especificação técnica do hidrômetro e registro fotográfico do poço em detalhe e panorâmica; 6. Realizar monitoramento da qualidade da água través de análise bacteriológica e físico-química do poço 1, de acordo com os parâmetros de aceitação para consumo humano; a análise deverá ser realizada a cada 6 meses; 7. Realizar limpeza e desinfecção do poço 1 e encaminhar laudo comprovando a realização e 8. Realizar acompanhamento mensal do volume outorgado de acordo com o Anexo II disponível no site da Semas e encaminhar o respetivo anexo devidamente preenchido.
Parecer Jurídico: Aplicada penalidade de multa simples no valor de 20.000 UPF’s.
Sugestão de julgamento: Manutenção da penalidade de multa simples aplicada no valor de 20.000 UPF’s.
Parecerista: Lucíula Cunha</t>
  </si>
  <si>
    <t>19/03/25 04:52</t>
  </si>
  <si>
    <t>Linha 91</t>
  </si>
  <si>
    <t>20 - Processo: 33275/2020
Recorrente: FLORAPLAC MDF LTDA
Infração: Deixar de atender o que preconiza os termos do Anexo I das Condicionantes, em específico o item 8 da Outorga 2181/2016, qual seja: 8. Apresentar acompanhamento do volume captado do poço tubular, referente aos anos vigentes (03/2016 até 03/2017) e (03/2017 até 03/2018).   
Parecer Jurídico: Aplicada penalidade de multa simples no valor de 3.000 UPF’s.
Sugestão de julgamento: Manutenção da penalidade de multa simples aplicada no valor de 3.000 UPF’s.
Parecerista: Lucíula Cunha 
Obs: Passível de majoração para 5.000 UPF’s pelo objeto da autuação.</t>
  </si>
  <si>
    <t>Linha 92</t>
  </si>
  <si>
    <t>21 - Processo: 25472/2020
Recorrente: FRIGORÍFICO FORTEFRIGO 
Infração: Deixar de cumprir as condicionantes 5 e 6 da Outorga 1203/2013, contrariando as exigências do órgão ou com ele em desacordo, quais sejam: 5. Realizar o monitoramento da qualidade da água do Poço 01 através de análises físico-químicas e bacteriológicas para os parâmetros e 6. Realizar limpeza e desinfecção do Poço 01 por empresa credenciada no CREA/PA.
Parecer Jurídico: Aplicada penalidade de multa simples no valor de 750 UPF’s.
Sugestão de julgamento: Manutenção da penalidade de multa simples aplicada no valor de 750 UPF’s.
Parecerista: Rodolfo Santos 
Obs: Passível de majoração para 15.000 UPF’s</t>
  </si>
  <si>
    <t>19/03/25 04:53</t>
  </si>
  <si>
    <t>Linha 93</t>
  </si>
  <si>
    <t>22 - Processo: 30570/2022
Recorrente: AMAZON PESCADO – JUPARANA FISH 
Infração: Contrariar o Art. 12, inciso II e Art. 81, inciso IV, da Lei Estadual 6381/2001, que dispõem: “Art. 12 Estão sujeitos à outorga pelo Poder Público os direitos dos seguintes uso dos recursos hídricos: II. Extração de água de aquífero subterrâneo para consumo final ou insumo de processo produtivo e “Art. 81 Constitui infração das normas de utilização dos recursos hídricos superficiais, meteóricos e subterrâneos, emergentes ou em depósito: IV. Perfurar poços para extração de água subterrânea ou operá-los sem a devida outorga”, em face de captar água subterrânea em 1 poço tubular sem a devida outorga de Uso de Recursos Hídricos.
Parecer Jurídico: Aplicada penalidade de multa simples no valor de 7.000 UPF’s.
Sugestão de julgamento: Manutenção da penalidade de multa simples aplicada no valor de 7.000 UPF’s.
Parecerista: Rodolfo Santos</t>
  </si>
  <si>
    <t>19/03/25 04:54</t>
  </si>
  <si>
    <t>Linha 94</t>
  </si>
  <si>
    <t>23 - Processo: 38239/2022
Recorrente: AÇAÍ PARÁ INDÚSTRIA E COMÉRCIO 
Infração: Deixar de cumprir as condicionantes 6, 7 e 8 da Outorga 1492/2014, infringindo regulamento administrativo e desobedecendo às normas legais ou regulamentares, quais sejam: 6. Encaminhar cópia do laudo de análise físico-química e bacteriológica da água do poço para os parâmetros, expedida por laboratório e devidamente assinada por profissional habilitado; 7. Realizar limpeza e desinfecção do Poço por empresa credenciada no CREA/PA e 8. Realizar o acompanhamento do volume captado de acordo com o Anexo II disponível no site da semas.
Parecer Jurídico: Aplicada penalidade de multa simples no valor de 3.000 UPF’s.
Sugestão de julgamento: Manutenção da penalidade de multa simples aplicada no valor de 3.000 UPF’s.
Parecerista: Victor Oliveira 
Obs: passível de majoração de 5.000 UPF’s a 10.000 UPF’s; Capital social superior a R$ 300.000,00.</t>
  </si>
  <si>
    <t>19/03/25 04:55</t>
  </si>
  <si>
    <t>Linha 95</t>
  </si>
  <si>
    <t>24 - Processo: 23709/2017
Recorrente: AUTO POSTO AURORA 
Infração: Contrariar o Art. 81, do Decreto Federal 6.514/2008, que dispõe: “Deixar de apresentar relatórios ou informações ambientais nos prazos exigidos pela legislação ou, quando aplicável, naquele determinado pela autoridade ambiental”, em face de não cumprir, no prazo estabelecido, a apresentação de RIAA, referente ao período de 2009/2010, 2010/2011 e 2011/2012.
Parecer Jurídico: Aplicada penalidade de multa simples no valor de 7.500 UPF’s.
Sugestão de julgamento: Manutenção da penalidade de multa simples aplicada no valor de 7.500 UPF’s.
Parecerista: Jossandra Pinheiro</t>
  </si>
  <si>
    <t>19/03/25 04:56</t>
  </si>
  <si>
    <t>Linha 96</t>
  </si>
  <si>
    <t>25 - Processo: 28094/2018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construir e fazer funcionar a atividade de barragem com a finalidade de aproveitamento hidrelétrico apresentando área inundada de 16, 5 hectares sem o devido licenciamento ambiental outorgado pelo órgão ambiental competente.
Parecer Jurídico: Aplicada penalidade de multa simples no valor de 50.001 UPF’s.
Sugestão de julgamento: Minoração do valor da penalidade de multa simples aplicada de 50.001 UPF’s para 32.500 UPF’s.
Parecerista: Jossandra Pinheiro</t>
  </si>
  <si>
    <t>Linha 97</t>
  </si>
  <si>
    <t>26 - Processo: 28109/2018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geração de energia em pequena central hidrelétrica sem o devido licenciamento ambiental outorgado pelo órgão ambiental competente.
Parecer Jurídico: Aplicada penalidade de multa simples no valor de 20.000 UPF’s.
Sugestão de julgamento: Minoração do valor da penalidade de multa simples aplicada de 20.000 UPF’s para 18.000 UPF’s.
Parecerista: Jossandra Pinheiro</t>
  </si>
  <si>
    <t>19/03/25 04:57</t>
  </si>
  <si>
    <t>Linha 98</t>
  </si>
  <si>
    <t>27 - Processo: 50407/2019
Recorrente: CONCREM WOOD AGRO INDUSTRIAL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regulamentares pertinentes”, em face de operar a atividade de viveiro de produção de mudas (eucalipto) sem a devida licença do órgão ambiental competente.
Parecer Jurídico: Aplicada penalidade de multa simples no valor de 3.000 UPF’s.
Sugestão de julgamento: Manutenção da penalidade de multa simples aplicada no valor de 3.000 UPF’s.
Parecerista: Rodolfo Santos</t>
  </si>
  <si>
    <t>19/03/25 04:58</t>
  </si>
  <si>
    <t>Linha 99</t>
  </si>
  <si>
    <t>28 - Processo: 13388/2019
Recorrente: AUTO POSTO TABOCAS LTDA 
Infração: Contrariar o Art. 93, da Lei Estadual 5.887/1995, que dispõe: “A construção, instalação, ampliação, reforma e funcionamento de empreendimentos e atividades utilizadoras e exploradoras de recursos naturais, considerados efetivo ou potencialmente poluidoras, bem como, os capazes de causar significativa degradação ambiental, sob qualquer forma, dependerão de prévio licenciamento do órgão ambiental”, em face de realizar a instalação de um tanque de combustível no complexo da empresa, sem a obtenção da Licença de Instalação que deveria ser expedida pelo órgão ambiental competente, fato este comprovado no local pela equipe técnica da Gerência de Projetos de Comércio e Serviços.
Parecer Jurídico: Aplicada penalidade de multa simples no valor de 7.000 UPF’s.
Sugestão de julgamento: Cancelamento do auto de infração, bem como o cancelamento da penalidade de multa aplicada.
Parecerista: Lucíula Cunha</t>
  </si>
  <si>
    <t>19/03/25 04:59</t>
  </si>
  <si>
    <t>Linha 100</t>
  </si>
  <si>
    <t>29 - Processo: 26917/2021
Recorrente: MINERAÇÃO PARAGOMINAS 
Infração: Deixar de cumprir as condicionantes 1, 2, 3, 5, 6, 7, 8 e 9 do Anexo I da Licença de Operação 5290/2010, quais sejam: 1. Encaminhar Relatório de Informação Ambiental Anual, a contar da data de recebimento da licença ora concedida; 2. Informar quaisquer modificação e acidentes que possa ocorrer durante a vigência da licença; 3. Realizar semestralmente o monitoramento do efluente da saída da caixa separadora de água e óleo, que deverá ser monitorado semestralmente e encaminhado os resultados a cada processo de renovação; 5. Realizar periodicamente a limpeza na área da atividade e manutenção do sistema de controle ambiental; 6. Informar quaisquer modificações pretendidas para atividades, as quais deverão ser apresentadas a esta SEMAS para nova análise; 7. Monitorar permanentemente a eficiência da caixa, principalmente durante o período chuvoso; 8. Manter o treinamento atualizado dos funcionários envolvidos na atividade do empreendimento e 9. Acondicionar os resíduos em local apropriado, encaminhando posteriormente a empresa devidamente licenciada para que sejam dados tratamento e destinação final adequada.
Parecer Jurídico: Aplicada penalidade de multa simples no valor de 1.500 UPF’s.
Sugestão de julgamento: Minoração do valor da penalidade de multa simples aplicada de 1.500 UPF’s para 500 UPF’s.
Parecerista: Jossandra Pinheiro</t>
  </si>
  <si>
    <t>Linha 101</t>
  </si>
  <si>
    <t>30 - Processo: 26667/2022
Recorrente: CASA DO ADUBO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empresa de comércio atacadista e armazenamento de produtos químicos, sem a devida Licença de Instalação, emitida pelo órgão ambiental competente, contrariando as normas legais e regulamentares pertinentes.
Parecer Jurídico: Aplicada penalidade de multa simples no valor de 7.000 UPF’s.
Sugestão de julgamento: Manutenção da penalidade de multa simples aplicada no valor de 7.000 UPF’s.
Parecerista: Victor Oliveira</t>
  </si>
  <si>
    <t>Linha 102</t>
  </si>
  <si>
    <t>31 - Processo: 15503/2022
Recorrente: WANDREW CARVALHO DANTAS   
Infração: Contrariar o Art. 81, incisos II e VI, da Lei Estadual 6381/2001, que dispõem: “Art. 81 Constitui infração das normas de utilização dos recursos hídricos superficiais, meteóricos e subterrâneos, emergentes ou em depósito: II. Iniciar a implantação ou implantar empreendimentos relacionados com a derivação ou utilização de recursos hídricos superficiais, subterrâneos e meteóricos que implique alterações no regime, quantidade ou qualidade dos membros, sem a autorização dos órgãos ou entidades competentes; VI. Infringir normas estabelecidas no regulamento desta Lei e nos regulamentos administrativos, compreendendo instrução e procedimentos fixados pelos órgãos ou entidades competentes”, em face de realizar intervenção em trecho de barramento entre as propriedades Sítio Nosso Paraíso e Sítio Boa Esperança sem autorização do órgão ambiental competente. 
Parecer Jurídico: Aplicada penalidade de multa simples no valor de 7.501 UPF’s.
Sugestão de julgamento: Manutenção da penalidade de multa simples aplicada no valor de 7.501 UPF’s.
Parecerista: Rodolfo Santos</t>
  </si>
  <si>
    <t>19/03/25 05:00</t>
  </si>
  <si>
    <t>Linha 103</t>
  </si>
  <si>
    <t>32 - Processo: 16957/2023
Recorrente: DANIEL ANVERSA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obra de abertura no eixo da barragem de terra, existente na área da Fazenda Boa Sorte, utilizadora de recursos ambientais, sem licença do órgão ambiental competente.
Manifestação Jurídica: Aplicada penalidade de multa simples no valor de R$ 350.500,00 (trezentos e cinquenta mil e quinhentos reais).
Sugestão de julgamento: Minoração do valor da penalidade de multa simples aplicada de R$ 350.500,00 (trezentos e cinquenta mil e quinhentos reais) para R$ 315.450,00 (trezentos e quinze mil, quatrocentos e cinquenta reais).
Parecerista: Victor Oliveira</t>
  </si>
  <si>
    <t>Linha 104</t>
  </si>
  <si>
    <t>33 - Processo: 21917/2023
Recorrente: GEOMASTER GEOTECNOLOGIA AMBIENTAL 
Infração: Contrariar o Art. 66, do Decreto Federal 6.514/2008, que dispõe: “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em coautoria, obra de abertura no eixo da barragem de terra existente na área da Fazenda Boa Sorte, utilizadora de recursos ambientais, sem autorização do órgão ambiental competente.
Parecer Jurídico: Aplicada penalidade de multa simples no valor de R$ 124.200,00 (cento e vinte e quatro mil e duzentos reais).
Sugestão de julgamento: Minoração do valor da penalidade de multa simples aplicada de R$ 124.200,00 (cento e vinte e quatro mil e duzentos reais) para R$ 80.730,00 (oitenta mil, setecentos e trinta reais).
Parecerista: Jossandra Pinheiro</t>
  </si>
  <si>
    <t>19/03/25 05:03</t>
  </si>
  <si>
    <t>Linha 105</t>
  </si>
  <si>
    <t>34 - Processo: 4434/2024
Recorrente: ANTÔNIO LOPES DE ÂNGELO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atividade de exploração florestal, sem licença ou autorização dos órgãos ambientais competentes.
Manifestação Jurídica: Aplicada penalidade de multa simples no valor de R$ 419.175,00 (quatrocentos e dezenove mil e cento e setenta e cinco reais) e a manutenção do Termo de 
Embargo e do Termo de Apreensão.
Sugestão de julgamento: Manutenção da penalidade de multa simples aplicada no valor de R$ 419.175, 00 (quatrocentos e dezenove mil, cento e setenta e cinco reais), bem como a manutenção do Termo de Embargo e do Termo de Apreensão.
Parecerista: Victor Oliveira</t>
  </si>
  <si>
    <t>Linha 106</t>
  </si>
  <si>
    <t>35 - Processo: 38269/2016
Recorrente: ERNANDES ALVES DA SILVA 
Infração: Contrariar o Art. 47, § 1º,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em face de transportar 37,9176 de madeira serrada sem a Guia Florestal e Nota Fiscal correspondente. 
Parecer Jurídico: Aplicada penalidade de multa simples no valor de 7.501 UPF’s e a manutenção 
do Termo de Apreensão e Depósito. 
Sugestão de julgamento: Minoração do valor da penalidade de multa simples aplicada de 7.501 UPF’s para 2.425 UPF’s, e com relação a destinação dos bens apreendidos, sugere-se que o pleno adote a destinação que considerar pertinente, com base na sugestão do Parecer Jurídico: Doação, leilão ou devolução ao proprietário.
Parecerista: Jossandra Pinheiro</t>
  </si>
  <si>
    <t>19/03/25 05:08</t>
  </si>
  <si>
    <t>Linha 107</t>
  </si>
  <si>
    <t>01 - Processo: 12695/2017
Recorrente: DIRECIONAL DIAMANTE EMP. IMOBILIÁRIOS – BELLA CITTÁ TOTAL VILLE
Infração: Deixar de atender as condicionantes 2, 3 e 4, constantes no Anexo I da Outorga nº 1526/2014 e desobedecer às normas legais ou regulamentares, quais sejam: 2. Instalar lacre de proteção, encaminhar registro fotográfico comprobatório; 3. Instalar hidrômetro na tubulação de saída dos poços, apresentando especificações técnicas do equipamento, encaminhar registro fotográfico comprovatório e 4. Construir cerca de proteção envolta dos poços para impedir o acesso de pessoas não autorizadas e de animais, encaminhar registro fotográfico comprobatório.
Parecer Jurídico: Aplicada penalidade de multa simples no valor de 3.000 UPF’s.
Sugestão de julgamento: Manutenção da penalidade de multa simples aplicada no valor de 3.000 UPF’s.
Parecerista: Talita Fernandes</t>
  </si>
  <si>
    <t>24/02/25 09:44</t>
  </si>
  <si>
    <t>Linha 108</t>
  </si>
  <si>
    <t>02 - Processo: 10761/2017
Recorrente: JKS IND. COMÉRCIO IMPORTAÇÃO E EXPORTAÇÃO
Infração: Contrariar o Art. 81, incisos IV e VI, da Lei Estadual 6.381/2001, que dispõem: “Constitui infração das normas de utilização dos recursos hídricos superficiais, meteóricos e subterrâneos, emergentes ou em depósito: IV. Perfurar poços para extração de água subterrânea ou operá-los sem a devida outorga e VI. Infringir normas estabelecidas no regulamento desta Lei e nos regulamentos administrativos, compreendendo instrução e procedimentos fixados pelos órgãos ou entidades competentes”, em face de fazer perfuração de poço tubular para extração de água subterrânea sem a devida Outorga Preventiva, desobedecendo ou inobservando normas legais ou regulamentares.
Parecer Jurídico: Aplicada penalidade de multa simples no valor de 5.000 UPF’s.
Sugestão de julgamento:  Manutenção da penalidade de multa simples aplicada no valor de 5.000 UPF’s.
Parecerista: Jonathas Valente 
OBS: O autuado não solicitou em recurso a prescrição, mas o processo prescreveu entre a Notificação de 02/05/2017, e o Parecer Jurídico de 11/08/2020, por tanto transcorrendo mais de 3 (três) anos, assim configurando a prescrição intercorrente, art. 29, § 2º da Lei nº 9.575/2022.</t>
  </si>
  <si>
    <t>24/02/25 09:45</t>
  </si>
  <si>
    <t>Linha 109</t>
  </si>
  <si>
    <t>03 - Processo: 19758/2017
Recorrente: ÁGUAS DE SÃO FRANCISCO CONCESSIONÁRIA 
Infração: Estar operando atividade de captação e abastecimento de água tratada à população local sem a devida outorga do órgão ambiental competente, bem como por não atender as condicionantes constantes na Notificação nº 79454/SAGRH/2015.
Parecer Jurídico: Aplicada penalidade de multa simples no valor de 30.000 UPF’s.
Sugestão de julgamento: Manutenção da penalidade de multa simples aplicada no valor de 30.000 UPF’s.
Parecerista: Ana Carla Pinho 
OBS. Prescrição não suscitada pela recorrente. Processo prescrito em 02/07/2023 a partir da expedição da certidão de admissibilidade (02/07/2020)</t>
  </si>
  <si>
    <t>24/02/25 09:47</t>
  </si>
  <si>
    <t>Linha 110</t>
  </si>
  <si>
    <t>04 - Processo: 27251/2018
Recorrente: CERVEJARIA AMAZÔNICA 
Infração: Deixar de atender o item 5 das condicionantes constantes no verso da Outorga nº 0989/2013, qual seja: 5. Realizar monitoramento da qualidade da água do poço 01 através de análises físico-químicas e bacteriológicas, de acordo com os padrões de potabilidade estabelecidos.
Parecer Jurídico: Aplicada multa simples no valor de 10.000 UPF’s.
Sugestão de julgamento:  Manutenção da penalidade de multa simples aplicada no valor de 10.000 UPF’s.
Parecerista: Ana Carla Pinho
OBS. Passível de majoração. Na 9ª PLENÁRIA ORDINÁRIA, julgado processo nº 2017/28287, HNK BR Bebidas, pelo descumprimento de 03 condicionantes: análises físico-químicas e bacteriológicas (Item 2), limpeza e desinfecção do poço por empresa credenciada no CREA/PA (Item 3) e acompanhamento de volume do poço de acordo com o Anexo II disponível no site da Semas (Item 4) majorado para 15.000 UPF’s, conforme ACÓRDÃO 678.</t>
  </si>
  <si>
    <t>Linha 111</t>
  </si>
  <si>
    <t>05 - Processo: 7788/2018
Recorrente: PARÁ COURO INDÚSTRIA E COMÉRCIO DE COURO 
Infração: Contrariar o Art. 12, inciso II, da Lei Estadual 6.381/2001, que dispõe: “Estão sujeitos à outorga pelo Poder Público os direitos dos seguintes usos dos recursos hídricos: II. Derivação ou captação de parcela da água existente em um corpo de água para o consumo final, inclusive abastecimento público ou insumo de processo produtivo”, em face de perfurar poço para extração de água subterrânea ou operá-los sem a devida outorga de direitos de Uso de Recursos Hídricos.
Parecer Jurídico: Aplicada penalidade de multa simples no valor de 7.500 UPF’s.
Sugestão de julgamento:  Manutenção da penalidade de multa simples aplicada no valor de 7.500 UPF’s.
Parecerista: Amanda Bezerra</t>
  </si>
  <si>
    <t>24/02/25 09:49</t>
  </si>
  <si>
    <t>Linha 112</t>
  </si>
  <si>
    <t>06 - Processo: 28197/2018
Recorrente: RESIDENCIAL JARDIM TROPICAL 
Infração: Contrariar o Art. 12, inciso II, da Lei Estadual 6.381/2001, que dispõe: “Estão sujeitos à outorga pelo Poder Públicos os direitos dos seguintes usos dos recursos hídricos: II. Extração de água de aquífero subterrâneo para consumo final ou insumo de processo produtivo”, em face de perfurar 2 poços para extração de água subterrânea ou operá-lo sem a devida Outorga de Direito de Uso de Recursos Hídricos. 
Parecer Jurídico: Aplicada penalidade de multa simples no valor de 5.000 UPF’s.
Sugestão de julgamento: Manutenção da penalidade de multa simples aplicada no valor de 5.000 UPF’s.
Parecerista: Amanda Bezerra 
OBS: O autuado não solicitou em recurso a prescrição, mas o processo prescreveu entre a Not. Nº 110996/GERAD/COFISC/DIFISC/SAGRA/2018 em 06/07/2018 e o PJ Nº: 31940/CONJUR/GABSEC/2021 em 20/12/2021, portanto transcorrendo mais de 3 (três) anos, assim configurando a prescrição intercorrente, art. 29, § 2º da Lei nº 9.575/2022.</t>
  </si>
  <si>
    <t>24/02/25 09:50</t>
  </si>
  <si>
    <t>Linha 113</t>
  </si>
  <si>
    <t>07 - Processo: 20298/2017
Recorrente: PARAGÁS DISTRIBUIDORA  
Infração: Deixar de atender em tempo hábil todas as condicionantes, referentes à apresentação de RIAA, constantes no Anexo I da Licença de Operação nº 5289/2010, com validade até 25/10/2014. Referente aos períodos de 2011/2012, 2012/2013, 2013/2014 que foram protocolados apenas no processo de renovação de devida licença, conforme a Nota Técnica n° 9804/2016
Parecer Jurídico: Aplicada penalidade de multa simples no valor de 4.500 UPF’s.
Sugestão de julgamento:  Minoração do valor da penalidade de multa simples aplicada de 4.500 UPF’s para 1.500 UPF’s.
Parecerista: Jailson Pereira</t>
  </si>
  <si>
    <t>24/02/25 09:54</t>
  </si>
  <si>
    <t>Linha 114</t>
  </si>
  <si>
    <t>08 - Processo: 28993/2017
Recorrente: HIDRO ENGENHARIA SANITÁRIA E AMBIENTAL 
Infração: Ter apresentado os RIAA’s, referente aos períodos de 2013 a 2017, fora do prazo estabelecido no item 6 das condicionantes da Licença de Operação nº 7817/2013, qual seja: 6. A cada 365 dias deverá ser apresentado Relatório de Informação Ambiental, acompanhado de declaração de veracidade das informações, assinado pelo representante legal e responsável técnico da empresa [...].
Parecer Jurídico: Aplicada penalidade de multa simples no valor de 50.000 UPF’s.
Sugestão de julgamento:  Minoração do valor da penalidade de multa simples aplicada de 50.000 UPF’s para 25.000 UPF’s.
Parecerista: Talita Fernandes 
Obs: Processo com prescrição intercorrente, não suscitada em recurso, ocorrida no período entre a MJ (16/03/2020) e notificação da NUCAM (29/01/2024).</t>
  </si>
  <si>
    <t>24/02/25 09:55</t>
  </si>
  <si>
    <t>Linha 115</t>
  </si>
  <si>
    <t>09 - Processo: 13347/2017
Recorrente: STÊNIO OLIVEIRA GODIM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desenvolver atividade de parcelamento do solo para fins de loteamento com licença de instalação vencida desde 08/06/2012.
Parecer Jurídico: Aplicada penalidade de multa simples no valor de 10.000 UPF’s.
Sugestão de julgamento:  Manutenção da penalidade de multa simples aplicada no valor de 10.000 UPF’s.
Parecerista: Ana Carla Pinho</t>
  </si>
  <si>
    <t>24/02/25 09:56</t>
  </si>
  <si>
    <t>Linha 116</t>
  </si>
  <si>
    <t>10 - Processo: 10621/2017
Recorrente: AUTO POSTO FOLHA 23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comércio varejista de combustíveis por determinado período sem a devida licença do órgão ambiental competente, tendo em vista que a Licença de Operação nº 145/2011 teve a validade até 14/04/2012 e a empresa solicitou a sua renovação somente em 03/09/2012.
Parecer Jurídico: Aplicada penalidade de multa simples no valor de 10.000 UPF’s.
Sugestão de julgamento:  Manutenção da penalidade de multa simples aplicada no valor de 10.000 UPF’s.
Parecerista: Amanda Bezerra 
OBS: O processo prescreveu após a Not. Nº 148627/COEMA/2021 em 24/09/2021, última movimentação, por tanto transcorrendo mais de 3 (três) anos, assim configurando a prescrição intercorrente, art. 29, § 2º da Lei nº 9.575/2022.</t>
  </si>
  <si>
    <t>Linha 117</t>
  </si>
  <si>
    <t>11 - Processo: 33899/2017
Recorrente: COMPANHIA DE SANEAMENTO DO PARÁ – COSANPA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descumprir a relação de condicionantes do Anexo I, da Licença de Instalação nº 2617/2015, com validade até 22/12/2018.
Parecer Jurídico: Aplicada penalidade de multa simples no valor de 16.500 UPF’s.	
Sugestão de julgamento:  Manutenção da penalidade de multa simples aplicada no valor de 16.500 UPF’s.
Parecerista: Jonathas Valente 
OBS: O autuado não solicitou em recurso a prescrição, mas o processo prescreveu entre a Notificação de 22/07/2020, e o dia 22/07/2023 pendente de movimentação processual, assim configurando a prescrição intercorrente, art. 29, § 2º da Lei nº 9.575/2022.</t>
  </si>
  <si>
    <t>24/02/25 09:57</t>
  </si>
  <si>
    <t>Linha 118</t>
  </si>
  <si>
    <t>12 - Processo: 30830/2020
Recorrente: COMPANHIA DE SANEAMENTO DO PARÁ – COSANPA 
Infração: Deixar de atender as condicionantes 1, 2, 3, 4 e 5 referentes à apresentação do RIAA, período de 2017/2018, no prazo determinado na Licença de Instalação nº 2700/2017, desobedecendo normas legais ou regulamentares, quais sejam: 1. Apresentar projetos executivos de todos os elementos do sistema, incluindo as respectivas Anotações de Responsabilidade Técnica do responsável pela elaboração; 2. Apresentar detalhamento da infraestrutura de apoio que será adotada para as obras; 3. Informar a localização georreferenciada da área de empréstimo, caso seja necessária a utilização, bem como respectivas cópias das licenças ambientais das mesmas; 4. Apresentar informações sobre o destino a ser dado aos resíduos oriundos das atividades de execução das obras e 5. Apresentar a cada 365 dias Relatório de Informações Ambiental Anual – RIAA.
Parecer Jurídico: Aplicada penalidade de multa simples no valor de 8.000 UPF’s.
Sugestão de julgamento: Manutenção da penalidade de multa simples aplicada no valor de 8.000 UPF’s.
Parecerista: Talita Fernandes</t>
  </si>
  <si>
    <t>24/02/25 09:59</t>
  </si>
  <si>
    <t>Linha 119</t>
  </si>
  <si>
    <t>13 - Processo: 20181/2021
Recorrente: COMPANHIA DE SANEAMENTO DO PARÁ – COSANPA 
Infração: Contrariar o Art. 81, inciso IV e VI, da Lei Estadual 6.381/2001, que dispõem: “Constitui infração das normas de utilização dos recursos hídricos superficiais, meteóricos e subterrâneos, emergentes ou em depósito: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perfurar poço para extração de água subterrânea sem a devida Outorga Preventiva, desobedecendo às normas legais ou regulamentares.
Parecer Jurídico: Aplicada penalidade de multa simples no valor de 5.000 UPF’s.
Sugestão de julgamento: Manutenção da penalidade de multa simples aplicada no valor de 5.000 UPF’s.
Parecerista: Talita Fernandes</t>
  </si>
  <si>
    <t>24/02/25 10:00</t>
  </si>
  <si>
    <t>Linha 120</t>
  </si>
  <si>
    <t>14 - Processo: 11624/2017
Recorrente: FÁBRICA CORDEIRO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operando atividade utilizadora de recursos naturais sem licença ambiental, em desacordo com as normas e regulamentos.
Parecer Jurídico: Aplicada penalidade de multa simples no valor de 7.500 UPF’s.
Sugestão de julgamento:  Manutenção da penalidade de multas simples aplicada no valor de 7.500 UPF’s.
Parecerista: Jonathas Valente 
OBS: O autuado não solicitou em recurso a prescrição, mas o processo prescreveu entre a Manifestação Jurídica despacho ao COEMA de 01/07/2020, e o dia 01/07/2023 pendente de movimentação processual, assim configurando a prescrição intercorrente, art. 29, § 2º da Lei nº 9.575/2022.</t>
  </si>
  <si>
    <t>24/02/25 10:01</t>
  </si>
  <si>
    <t>Linha 121</t>
  </si>
  <si>
    <t>15 - Processo: 41920/2016
Recorrente: POSTO SÃO SEBASTIÃO COMÉRCIO DE COMBUSTÍVEIS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comércio de combustíveis (posto flutuante) sem licença do órgão ambiental competente ou com ele em desacordo.
Parecer Jurídico: Aplicada penalidade de multa simples no valor de 25.000 UPF’s.
Sugestão de julgamento:  Manutenção da penalidade de multa simples aplicada no valor de 25.000 UPF’s.
Parecerista: Jonathas Valente</t>
  </si>
  <si>
    <t>24/02/25 10:02</t>
  </si>
  <si>
    <t>Linha 122</t>
  </si>
  <si>
    <t>16 - Processo: 11201/2017
Recorrente: ANTÔNIO HIGINO DE ALMEIDA NETO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enganosa em procedimento administrativo ambiental, pois não possui os animais silvestres descritos no documento nº 39284/2014, protocolado no dia 28/11/2014 nesta SEMAS, conforme declarou no documento nº 2993/2017, protocolado no dia 30/01/2017.
Parecer Jurídico: Aplicada penalidade de multa simples no valor de 1.250 UPF’s.
Sugestão de julgamento:  Manutenção da penalidade de multa simples aplicada no valor de 1.250 UPF’s.
Parecerista: Ana Carla Pinho 
OBS. Passível de majoração, considerando o julgamento do processo 2021/7152 - Diego Freitas, Julgado na 9ª PLENÁRIA ORDINÁRIA, de 19/02/25 conforme ACÓRDÃO 685. Neste caso, foi mantida a multa de 2.000 UPF’s por prestar informações falsas de ter em posse 03 curiós.</t>
  </si>
  <si>
    <t>Linha 123</t>
  </si>
  <si>
    <t>17 - Processo: 11551/2017
Recorrente: AMARELÃO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sistema oficial de controle desta Secretaria (CEPROF/SISFLORA) ao movimentar o quantitativo de 369,93 m³ em créditos indevidos de madeira processada. 
Parecer Jurídico: Aplicada penalidade de multa simples no valor de 50.000 UPF’s.
Sugestão de julgamento: Minoração do valor da penalidade de multa simples aplicada de 50.000 UPF’s para 30.000 UPF’s.
Parecerista: Jailson Pereira</t>
  </si>
  <si>
    <t>24/02/25 10:03</t>
  </si>
  <si>
    <t>Linha 124</t>
  </si>
  <si>
    <t>18 - Processo: 4389/2024
Recorrente: SAMUEL FELIX DA ROCHA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realizar desmatamento de 29,755 hectares na área da fazenda Tabuao da Serra, área de floresta nativa, sem licença ou autorização do órgão ambiental competente.
Manifestação Jurídica: Aplicada penalidade de multa simples no valor de R$ 224.000,00 (duzentos e vinte e quatro mil reais).
Sugestão de julgamento:  Encaminhamento dos Autos à GESFLORA, sugerindo a manutenção da multa simples aplicada de R$ 224.000 e em consonância com o Decreto Federal nº 6.514 de 2008, que estipula multa de R$ 5.000 por hectare ou fração e, a Lei Estadual nº 9.575, Capítulo III, Seção II – Das Circunstâncias Atenuantes e Agravantes, Art. 18, em acréscimos de até 50%, bem como a manutenção do embargo.
Parecerista: Amanda Bezerra</t>
  </si>
  <si>
    <t>24/02/25 10:04</t>
  </si>
  <si>
    <t>Linha 125</t>
  </si>
  <si>
    <t>20 - Processo: 24096/2023
Recorrente: PAULO KOZEN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realizar exploração florestal sem licença.
Sugestão de julgamento:  Manutenção do Termo de Apreensão TAD-23-04/1249704.
Parecerista: Victor Oliveira</t>
  </si>
  <si>
    <t>24/02/25 10:06</t>
  </si>
  <si>
    <t>Linha 126</t>
  </si>
  <si>
    <t>21 - Processo: 37373/2016
Recorrente: PREFEITURA DE MARITUBA 
Infração: Contrariar o Art. 11, §4, inciso VI, da Lei Estadual 5.887/1995, que dispõe: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em face de depositar resíduos sólidos de qualquer natureza sem tratamento prévio a céu aberto em desacordo com a legislação vigente. 
Parecer Jurídico: Aplicada penalidade de multa simples no valor de 50.001 UPF’s.
Sugestão de julgamento: Manutenção da penalidade de multa simples aplicada no valor de 50.001 UPF’s.
Parecerista: Jailson Pereira</t>
  </si>
  <si>
    <t>Linha 127</t>
  </si>
  <si>
    <t>22 - Processo: 41431/2016
Recorrente: IMERIS RIO CAPIM 
Infração: Contrariar os Art.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ter contribuído com a poluição do solo, decorrente do vazamento de caulim em mistura com água, na praia do rio Pará, município de Barcarena.
Parecer Jurídico: Aplicada penalidade de multa simples no valor de 7.500 UPF’s.
Sugestão de julgamento: Manutenção da penalidade de multa simples aplicada no valor de 7.500 UPF’s.
Parecerista: Jailson Pereira</t>
  </si>
  <si>
    <t>24/02/25 10:07</t>
  </si>
  <si>
    <t>Linha 128</t>
  </si>
  <si>
    <t>01 - Processo: 12561/2017
Recorrente: TRANSPORTE BERTOLINI
Infração: Deixar de atender as condicionantes 1, 2, 3, 4, 5, 6, 7 e 8 estabelecidas na Outorga de Direito de Uso de Recursos Hídricos nº 583/2011, quais sejam: 1. A cada 365 dias, a contar da data do recebimento desta, apresentar o Laudo de monitoramento da qualidade da água através de análise bacteriológica e físico-química, esta deverá ser realizada a cada 06 meses até o vencimento desta; 2. A cada 365 dias a contar da data do recebimento até o vencimento desta, deverá apresentar o histórico de acompanhamento mensal do volume outorgado; 4. Realizar cadastro de usuário de recursos hídricos; 5. Instalar um lacre de proteção adequado na boca do poço, encaminhando a SEMA relatório fotográfico; 6. Instalar um hidrômetro na tubulação de saída do poço, apresentando laudo comprobatório da instalação do mesmo e registro fotográfico do aparelho já instalado; 7. Realizar limpeza da área da laje de proteção em concreto de forma a retirar os entulhos e sujeira, encaminhando a SEMAS relatório fotográfico e 8. Construir cerca de proteção, encaminhando relatório fotográfico.
Parecer Jurídico: Aplicada penalidade de multa simples no valor de 3.000 UPF’s.
Sugestão de julgamento: Manutenção da penalidade de multa simples aplicada no valor de 3.000 UPF’s.
Parecerista: Jossandra Pinheiro</t>
  </si>
  <si>
    <t>13/02/25 05:16</t>
  </si>
  <si>
    <t>Linha 129</t>
  </si>
  <si>
    <t>02 - Processo: 10612/2017
Recorrente: REBELO E ALVES COMÉRCIO E NAVEGAÇÃO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desenvolvendo atividade de revenda de combustíveis sem licença outorgada pelo órgão ambiental competente.
Parecer Jurídico: Aplicada penalidade de multa simples no valor de 7.501 UPF’s e a interdição/embargo do empreendimento até a comprovação da plena regularidade ambiental.
Sugestão de julgamento:  Manutenção da penalidade de multa simples aplicada no valor de 7.501 UPF’s.
Parecerista: Victor Oliveira</t>
  </si>
  <si>
    <t>13/02/25 05:17</t>
  </si>
  <si>
    <t>Linha 130</t>
  </si>
  <si>
    <t>03 - Processo: 19773/2017
Recorrente: POSTO MESQUITA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posto revenda de combustíveis por determinado período sem a devida licença do órgão ambiental competente. Período de 03/02/2016 à 22/02/2017.
Parecer Jurídico: Aplicada penalidade de multa simples no valor de 7.000 UPF’s.
Sugestão de julgamento: Manutenção da penalidade de multa simples aplicada no valor de 7.000 UPF’s.
Parecerista: Rafael Amaral</t>
  </si>
  <si>
    <t>13/02/25 05:18</t>
  </si>
  <si>
    <t>Linha 131</t>
  </si>
  <si>
    <t>04 - Processo: 44604/2017
Recorrente: MADEIREIRA MADEVAL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por período de  1.896 (um mil oitocentos e noventa e seis dias), sem a devida licença ambiental. 
Parecer Jurídico: Aplicada penalidade de multa simples no valor de 7.500 UPF’s.
Sugestão de julgamento: Manutenção da penalidade de multa simples aplicada no valor de 7.500 UPF’s.
Parecerista: Rafael Amaral</t>
  </si>
  <si>
    <t>Linha 132</t>
  </si>
  <si>
    <t>05 - Processo: 37288/2021
Recorrente: CRW AUTOPOSTO 
Infração: Deixar de cumprir os itens 3, 4 e 5, das condicionantes constantes no verso da Outorga nº 1052/2013, contrariando as exigências do órgão ambiental competente, quais sejam: 3. Realizar monitoramento da qualidade da água do poço através de análises físico-químicas e bacteriológicas, de acordo com os padrões de potabilidade estabelecidos; 4. Realizar limpeza e desinfecção do poço por empresas credenciadas no CREA/PA e 5. Realizar o acompanhamento do volume captado do poço.
Parecer Jurídico: Aplicada penalidade de multa simples no valor de 7.500 UPF’s.
Sugestão de julgamento: Manutenção da penalidade de multa simples aplicada no valor de 7.500 UPF’s.
Parecerista: Rafael Amara</t>
  </si>
  <si>
    <t>13/02/25 05:20</t>
  </si>
  <si>
    <t>Linha 133</t>
  </si>
  <si>
    <t>06 - Processo: 10119/2019
Recorrente: COMPANHIA DOCAS DO PARÁ 
Infração: Contrariar o Art. 80, do Decreto Federal 6.514/2008, que dispõe: “Deixar de atender a exigências legais ou regulamentares quando devidamente notificado pela autoridade ambiental competente no prazo concedido, visando a regularização, correção ou adoção de medidas de controle para cessar a degradação ambiental”, em face de deixar de atender as exigências legais da notificação no prazo concedido de 7 (sete) dias, visando a regularização ambiental.
Parecer Jurídico: Aplicada penalidade de multa simples no valor de 7.000 UPF’s.
Sugestão de julgamento: Manutenção da penalidade de multa simples aplicada no valor de 7.000 UPF’s.
Parecerista: Lucíula Cunha</t>
  </si>
  <si>
    <t>Linha 134</t>
  </si>
  <si>
    <t>07 - Processo: 18138/2020
Recorrente: EQUATORIAL PARÁ DISTRIBUIDORA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Usina Termelétrica à Combustível Fóssil – UTE Jacareacanga, do ano de 2002 até 01/02/2017, sem a devida Licença de Operação emitida pelo órgão ambiental competente.
Parecer Jurídico: Aplicada penalidade de multa simples no valor de 5.000 UPF’s.
Sugestão de julgamento: Cancelamento do auto de infração AUT-1-S/20-05-00291.
Parecerista: Rodolfo Santos</t>
  </si>
  <si>
    <t>13/02/25 05:21</t>
  </si>
  <si>
    <t>Linha 135</t>
  </si>
  <si>
    <t>08 - Processo: 35691/2020
Recorrente: UNIÃO GOOD PAX SERVIÇOS PÓSTUMOS 
Infração: Deixar de atender o item 5 das condicionantes do prazo de 1280 dias, presente no Anexo I da Outorga nº 1983/2015, desobedecendo às normas legais ou regulamentares, qual seja: 5. Realizar limpeza e desinfecção do poço por empresa credenciada no CREA/PA.
Parecer Jurídico: Aplicada penalidade de multa simples no valor de 3.000 UPF’s.
Sugestão de julgamento: Manutenção da penalidade de multa simples aplicada no valor de 3.000 UPF’s e o encaminhamento do processo ao NUCAM para agendamento da audiência de conciliação ambiental.
Parecerista: Rodolfo Santos</t>
  </si>
  <si>
    <t>Linha 136</t>
  </si>
  <si>
    <t>09 - Processo: 27462/2020
Recorrente: PREFEITURA MUNICIPAL DE URUARÁ
Infração: Contrariar o Art. 47, inciso III, da Lei Federal 12.305/2010, que dispõe: “São proibidas as seguintes formas de destinação ou disposição final de resíduos sólidos ou rejeitos: III. Queima a céu aberto ou em recipientes, instalações e equipamentos não licenciados para essa finalidade”, em face de realizar queima de resíduos sólidos a céu aberto.
Parecer Jurídico: Aplicada penalidade de multa simples no valor de 40.000 UPF’s.
Sugestão de julgamento: Manutenção da penalidade de multa simples aplicada no valor de 40.000 UPF’s.
Parecerista: Rafael Amaral</t>
  </si>
  <si>
    <t>13/02/25 05:22</t>
  </si>
  <si>
    <t>Linha 137</t>
  </si>
  <si>
    <t>10 - Processo: 21501/2020
Recorrente: ASSOC. DAS COM. REM. DE QUILOMBOS DA PANCADA - ACORQE
Infração: Deixar de atender as condicionantes estabelecidas no Anexo I, da Autorização de Funcionamento nº 5746/2017. Itens 3, 4, 6, 7, 8 e 11, quais sejam: 3. Apresentar Habite-se atualizado, emitido pelo Corpo de Bombeiros; 4. Apresentar Plano de Emergência Individual – PEI atualizado, acompanhado da respectiva Anotação de Responsabilidade Técnica; 6. Apresentar memorial descritivo informando a forma de recolhimento, armazenamento e disposição final dos resíduos a serem gerados pela atividade; 7. Apresentar os documentos do Art. 3, inciso I, da Instrução Normativa nº 03/2016, visando à obtenção da LO; 8. Apresentar projetos que visem à adequação da área, com a devida Anotação de Responsabilidade Técnica do responsável pela elaboração dos projetos, incluindo cronograma de implantação, cujo cronograma de execução não deverá ultrapassar 180 dias e 11. Apresentar relatório referente ao período de vigência da AF, 2017-2018, incluindo registro fotográfico, descrevendo o desenvolvimento das atividades, que demonstre as conformidades e as não conformidades e o gerenciamento dos resíduos gerados, bem como as medidas de controle e mitigação adotadas.
Parecer Jurídico: Aplicada penalidade de multa simples no valor de 10.000 UPF’s.
Sugestão de julgamento: Manutenção da penalidade de multa simples aplicada no valor de 10.000 UPF’s.
Parecerista: Jossandra Pinheiro</t>
  </si>
  <si>
    <t>Linha 138</t>
  </si>
  <si>
    <t>11 - Processo: 48398/2024
Recorrente: HADEX COMÉRCIO E INDÚSTRIA DE MADEIRAS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porto de embarque de madeira sem a devida licença do órgão ambiental competente.
Parecer Técnico: Aplicada penalidade de multa simples no valor de R$180.450,00 (cento e oitenta mil, quatrocentos e cinquenta reais) e a manutenção do Termo de Interdição.
Sugestão de julgamento: Minoração do valor da penalidade de multa simples aplicada de R$180.450,00 (cento e oitenta mil, quatrocentos e cinquenta reais) para R$130.325,00 (cento e trinta mil, trezentos e vinte e cinco reais) e o cancelamento do Termo de Interdição TIT-24-083-GEFLOR.
Parecerista: Victor Oliveira</t>
  </si>
  <si>
    <t>13/02/25 05:28</t>
  </si>
  <si>
    <t>Linha 139</t>
  </si>
  <si>
    <t>12 - Processo: 13983/2017
Recorrente: GUASCOR DO BRASIL 
Infração: Deixar de atender as condicionantes, itens 3 e 4, constantes no Anexo I da Declaração de Dispensa de Outorga 169/2013, quais sejam: 3. Encaminhar proposta de adequação da água a Portaria 2914/2011 do Ministério da Saúde, visto que de acordo com o aludo físico-químico e bacteriológico contido nos autos do processo, a água não atende a legislação vigente ao parâmetro coliforme total; 4. Realizar monitoramento da qualidade da água do poço através de análises físico-químicas e bacteriológicas.
Parecer Jurídico: Aplicada penalidade de multa simples no valor de 20.000 UPF’s.
Sugestão de julgamento: Manutenção da penalidade de multa simples aplicada no valor de 20.000 UPF’s.
Parecerista: Lucíula Cunha</t>
  </si>
  <si>
    <t>13/02/25 05:23</t>
  </si>
  <si>
    <t>Linha 140</t>
  </si>
  <si>
    <t>13 - Processo: 28287/2017
Recorrente: HNK BR BEBIDAS 
Infração: Descumprir os itens 2, 3 e 4 da relação de condicionantes do Anexo I, da Outorga nº 1162/2013, com validade até 18/09/2017, quais sejam: 2. Realizar monitoramento da qualidade da água através de análises físico-químicas e bacteriológicas do poço, de acordo com os padrões de potabilidade; 3. Realizar a limpeza e desinfecção do poço por empresa credenciada no CREA/PA e 4. Realizar acompanhamento mensal do volume captado do poço, de acordo com o Anexo II disponível no site da SEMAS. 
Parecer Jurídico: Aplicada penalidade de multa simples no valor de 5.500 UPF’s.
Sugestão de julgamento: Manutenção da penalidade de multa simples aplicada no valor de 5.500 UPF’s.
Parecerista: Victor Oliveira</t>
  </si>
  <si>
    <t>Linha 141</t>
  </si>
  <si>
    <t>14 - Processo: 15322/2018
Recorrente: VALE S/A
Infração: Utilizar-se de recurso hídrico em desacordo com as condições estabelecidas no Anexo I da Outorga nº 1483/2014. O usuário não manteve a vazão mínima estabelecida para o dique 04, em janeiro/2016 (chegando a 146 m³/dia) e para o dique 05 em dezembro/2015, janeiro/2016, maio/2016 e setembro/2017 (chegando a 345,6 m³/dia), conforme avaliação “in loco” do processo 13821/2008 (renovação de outorga) 
Parecer Jurídico: Aplicada penalidade de multa simples no valor de 25.000 UPF’s.
Sugestão de julgamento: Manutenção da penalidade de multa simples aplicada no valor de 25.000 UPF’s.
Parecerista: Lucíula Cunha</t>
  </si>
  <si>
    <t>13/02/25 05:24</t>
  </si>
  <si>
    <t>Linha 142</t>
  </si>
  <si>
    <t>15 - Processo: 14079/2022
Recorrente: PAGRISA PARÁ PASTORIAL E AGRÍCOLA 
Infração: Deixar de cumprir as condicionantes referente aos itens 2, 3 e 6 da Outorga nº 2499/2016, no prazo estabelecido, desobedecendo às normas legais ou regulamentares, quais sejam: 2. Instalar um medidor de vazão na saída do sistema de tratamento dos efluentes, protocolando ofício direcionando a DIREH/SEMAS com registro fotográfico em anexo; 3. Instalar régua linimétrica de alumínio na secção de monitoramento do corpo hídrico, protocolando ofício direcionando a DIREH/SEMAS, com registro fotográfico em anexo e 6. Realizar registro das vazões, do corpo hídrico diariamente e encaminhá-los a esta DIREH através de relatório.
Parecer Jurídico: Aplicada penalidade de multa simples no valor de 1.000 UPF’s.
Sugestão de julgamento: Manutenção da penalidade de multa simples aplicada no valor de 1.000 UPF’s.
Parecerista: Lucíula Cunha</t>
  </si>
  <si>
    <t>Linha 143</t>
  </si>
  <si>
    <t>16 - Processo: 6284/2022
Recorrente: SERRA GRANDE EMPREENDIMENTOS IMOBILIÁRIOS
Infração: Deixar de cumprir aos itens 2 (referente aos anos de 2018 e 2020), 3 (referente aos anos de 2018 e 2020), 4 (referente aos anos de 2018, 2019, 2020 e 2021), 5 (referente aos anos de 2018, 2019, 2020), 2021) , 6 (referente ao ano de 2018) e 7 (referente ao ano de 2018)das condicionantes constantes no verso da Outorga nº 2769/2017, no prazo estabelecido, contrariando as exigências do órgão ambiental competente, quais sejam: 2. Realizar acompanhamento da vazão vertida e encaminhar o Anexo III – Relatório Anual de Acompanhamento do Volume Vertido; 3. Descrever a metodologia utilizada no monitoramento de vazão vertida; 4. Apresentar o monitoramento semestral da vazão a montante e a jusante do trecho onde ocorreu a intervenção; 5. Encaminhar o relatório dos efeitos dos níveis d’água ou vazões de cheias na sessão da intervenção; 6. Encaminhar o relatório, após a conclusão das obras e serviços, a reconstrução da calha do corpo hídrico na sua forma original e 7. Encaminhar o registro fotográfico da área do ponto de intervenção após a conclusão da obra e serviços.
Parecer Jurídico: Aplicada penalidade de multa simples no valor de 500 UPF’s.
Sugestão de julgamento: Manutenção da penalidade de multa simples aplicada no valor de 500 UPF’s.
Parecerista: Jossandra Pinheiro</t>
  </si>
  <si>
    <t>Linha 144</t>
  </si>
  <si>
    <t>17 - Processo: 52260/2023
Recorrente: TERRABOI ADMINISTRAÇÃO E PARTICIPAÇÃO 
Infração: Contrariar o Art. 81, inciso I, da Lei Estadual 6.381/2001 e o Art. 66, do Decreto Federal 6.514/2008, que dispõem: Art. 81 “Constitui infração das normas de utilização dos recursos hídricos superficiais, meteóricos e subterrâneos, emergentes ou em depósitos: I. Derivar ou utilizar recursos hídricos sem a respectiva outorga de direito de uso” e Art. 66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realizar captação de água superficial em corpo hídrico sem a devida outorga de direito de uso emitida pelo órgão ambiental competente.
Manifestação Jurídica: Aplicada penalidade de multa simples no valor de R$ 5.010.500,00 (cinco milhões, dez mil e quinhentos reais).
Sugestão de julgamento: Minoração do valor da penalidade de multa simples aplicada de R$ 5.010.500,00 (cinco milhões, dez mil e quinhentos reais) para R$ 2.004.200,00 (dois milhões, quatro mil e duzentos reais).
Parecerista: Jossandra Pinheiro</t>
  </si>
  <si>
    <t>13/02/25 05:25</t>
  </si>
  <si>
    <t>Linha 145</t>
  </si>
  <si>
    <t>18 - Processo: 37177/2015
Recorrente: CLAUDIOMAR VICENTE KEHRNVALD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12,77 ha de floresta com infringência das normas de proteção em área de reserva legal sem licença do órgão ambiental.
Parecer Jurídico: Aplicada penalidade de multa simples no valor de 20.000 UPF’s.
Sugestão de julgamento: Minoração do valor da penalidade de multa simples aplicada de 20.000 UPF’s para 13.538 UPF’s e a manutenção do Termo de Embargo 999/2015 até que seja apresentada comprovação de adesão ao PRA.
Parecerista: Jossandra Pinheiro</t>
  </si>
  <si>
    <t>Linha 146</t>
  </si>
  <si>
    <t>19 - Processo: 21388/2017
Recorrente: GABRIELA CÔRTES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0,3797 ha de florestas ou demais formas de vegetação natural ou utilizá-la com infringência das normas de proteção em área de reserva legal sem licença do órgão ambiental competente.
Parecer Jurídico: Aplicada penalidade de multa simples no valor de 7.501 UPF’s.
Sugestão de julgamento: Minoração do valor da penalidade de multa simples 
aplicada de 7.501 UPF’s para 1.100 UPF’s.
Parecerista: Victor Oliveira</t>
  </si>
  <si>
    <t>13/02/25 05:26</t>
  </si>
  <si>
    <t>Linha 147</t>
  </si>
  <si>
    <t>20 - Processo: 7152/2021
Recorrente: DIEGO FREITAS DA SILVA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prestar informação falsa ao sistema oficial de controle, visto que no documento protocolado nesta Secretaria, no dia 29/09/2014, informou ter sob sua responsabilidade 3 Curiós, contudo, durante atividade de fiscalização realizada pela equipe desta SEMAS na data de 12/03/2020 na residência do autuado, nenhum animal foi encontrado.
Parecer Jurídico: Aplicada penalidade de multa simples no valor de 2.000 UPF’s.
Sugestão de julgamento: Manutenção da penalidade de multa simples aplicada no valor de 2.000 UPF’s e o encaminhamento do processo ao NUCAM para agendamento da conciliação ambiental.
Parecerista: Rodolfo Santos</t>
  </si>
  <si>
    <t>Linha 148</t>
  </si>
  <si>
    <t>Infração: Ter atendido de forma parcial os itens 1 e 4 e não ter cumprido os itens 3, 8 e 9 das condicionantes da Outorga nº 614/2011, quais sejam: 1. A cada 365 dias, a contar da data do recebimento desta, apresentar Laudo de monitoramento da qualidade da água através de análise bacteriológica e físico-química, está deverá ser realizada a cada 06 (seis) meses até o vencimento desta; 3. A cada 365 dias, a contar da data do recebimento até o vencimento desta, apresentar o laudo de limpeza e desinfecção do poço a esta SEMA comprovando a realização do mesmo; 4. Realizar a limpeza na área do entorno do poço 03, para evitar acúmulo de contaminantes, esta deverá ser realizada a cada 06 (seis) meses, encaminhando a SEMA/PA relatório fotográfico a cada 365 dias; 8. Instalar lacre de proteção em torno do poço 03, encaminhando a SEMA/PA relatório fotográfico; 9. Construir laje de proteção em torno do poço 03, encaminhando a SEMA/PA relatório fotográfico. 
Parecer Jurídico: Aplicada penalidade de multa simples no valor de 7.500 UPF’s.
Sugestão de julgamento: Manutenção da penalidade de multa simples aplicada no valor de 7.500 UPF’s.
Parecerista: Talita Fernandes</t>
  </si>
  <si>
    <t>29/01/25 03:16</t>
  </si>
  <si>
    <t>Linha 149</t>
  </si>
  <si>
    <t>Infração: Contrariar o Art. 24, do Decreto Federal nº 6.514/2008, que dispõe: “Matar, perseguir, caçar, apanhar, coletar, utilizar espécimes da fauna silvestre, nativos ou em rota migratória, sem a devida permissão, licença ou autorização da autoridade competente, ou em desacordo com a obtida”, em face de matar por atropelamento da locomotiva um animal silvestre conhecido como bicho preguiça no dia 23 de setembro de 2017, fato comunicado a esta SEMAS pela empresa no documento nº 32821/2017.
Parecer Jurídico: Aplicada penalidade de multa simples no valor de 2.000 UPF’s.
Sugestão de julgamento: Manutenção da penalidade e multa simples aplicada no valor de 2.000 UPF’s.
Parecerista: Jailson Pereira</t>
  </si>
  <si>
    <t>29/01/25 03:17</t>
  </si>
  <si>
    <t>Linha 150</t>
  </si>
  <si>
    <t>Infração: Deixar de atender as condicionantes 1, 2, 3 e 4 constantes no Anexo I da Outorga nº 2696/2016, quais sejam: 1. Retificar o cadastro nacional de usuário de recursos hídricos – CNARH no site com as informações preenchidas de acordo com os termos deste título e encaminhar cópia da declaração de uso de recursos hídricos atualizada, gerada após a finalização do cadastro; 2. Instalar um medidor de vazão na tubulação de saída do sistema de tratamento dos efluentes, protocolando ofício direcionando a DIREH/SEMAS com registro fotográfico em anexo; 3. Realizar, a cada 180 dias, o monitoramento com resultados analíticos de amostras do efluente das ETE’s e da barragem da Usina, barragem do igarapé do laticínio, a montante e a jusante do ponto de lançamento dos efluentes dos parâmetros e 4. Realizar o acompanhamento mensal das vazões lançadas de acordo com o ANEXO II disponível no site da SEMAS.
Parecer Jurídico: Aplicada penalidade de multa simples no valor de 50.000 UPF’s.
Sugestão de julgamento: Manutenção da penalidade de multa simples aplicada no valor de 50.000 UPF’s.
Parecerista: Lucíula Cunha</t>
  </si>
  <si>
    <t>Linha 151</t>
  </si>
  <si>
    <t>Infração: Utilizar-se de recurso hídrico em desacordo com as condições estabelecidas no Anexo I da Outorga nº 2696/2016, o usuário ultrapassou a vazão de lançamento outorgada para o ponto igarapé do laticínio chegando a 9,12 m³/h (fev/2017).
Parecer Jurídico: Aplicada penalidade de multa simples no valor de 7.000 UPF’s.
Sugestão de julgamento: Manutenção da penalidade de multa simples aplicada no valor de 7.000 UPF’s e retorno dos autos à DIFISC para a verificação da vazão de lançamento outorgada e se o empreendimento está operando sem outorga.
Parecerista: Lucíula Cunha</t>
  </si>
  <si>
    <t>29/01/25 03:18</t>
  </si>
  <si>
    <t>Linha 152</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</si>
  <si>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poço tubular sem o devido licenciamento de órgão ambiental por um período de 22 meses e 18 dias (período entre o vencimento da Outorga nº 05/2009 e a liberação da Outorga nº 1503/2014).
Parecer Jurídico: Aplicada penalidade de multa simples no valor de 10.000 UPF’s.
Sugestão de julgamento: Manutenção da penalidade de multa simples aplicada no valor de 10.000 UPF’s.
Parecerista: Talita Fernandes</t>
  </si>
  <si>
    <t>29/01/25 03:19</t>
  </si>
  <si>
    <t>Linha 153</t>
  </si>
  <si>
    <t>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dois poços tubulares sem a devida Outorga de Uso de Recursos Hídricos.
Parecer Jurídico: Aplicada penalidade de multa simples no valor de 3.000 UPF’s.
Sugestão de julgamento: Manutenção da penalidade de multa simples aplicada no valor de 3.000 UPF’s.
Parecerista: Amanda Bezerra</t>
  </si>
  <si>
    <t>Linha 154</t>
  </si>
  <si>
    <t>Infração: Contrariar os Arts. 81, inciso I e VI e 12, inciso I, da Lei Estadual 6.381/2001, que dispõem: Art. 81 “Constitui infração das normas de utilização dos recursos hídricos superficiais, meteóricos e subterrâneos, emergentes ou em depósito: I. Derivar ou utilizar recursos hídricos sem a respectiva outorga de direito de uso e VI. Infringir normas estabelecidas no regulamento desta Lei e nos regulamentos administrativos, compreendendo instrução e procedimentos fixados pelos órgãos ou entidades competentes”; Art. 12 “Estão sujeitos à outorga pelo Poder Público os direitos dos seguintes usos dos recursos hídricos: I. Derivação ou captação de parcela da água existente em um corpo de água para o consumo final, inclusive abastecimento público ou insumo de processo produtivo”, em face de manter barramento sem outorga, emitida por órgão ambiental competente, para regularização de vazão em curso de água.
Parecer Jurídico: Aplicada penalidade de multa simples no valor de 9.800 UPF’s.
Sugestão de julgamento: Manutenção da penalidade de multa simples aplicada no valor de 9.800 UPF’s.
Parecerista: Rafael Amaral</t>
  </si>
  <si>
    <t>29/01/25 03:21</t>
  </si>
  <si>
    <t>Linha 155</t>
  </si>
  <si>
    <t>Infração: Estar em desacordo com a Licença de Operação nº 7229/2012, pois comercializou nos períodos anuais, de outubro de 2012 a outubro de 2013 e de outubro de 2013 a outubro de 2014, 27.783 (vinte e sete mil, setecentos e oitenta e três) espécimes de recursos aquáticos vivos acima da quantidade permitida na licença, a qual era de 44.810 número de cabeças ao ano (NCA). 
Parecer Jurídico: Aplicada penalidade de multa simples no valor de 20.000 UPF’s.
Sugestão de julgamento: Manutenção da penalidade de multa simples aplicada no valor de 20.000 UPF’s.
Parecerista: Jossandra Pinheiro</t>
  </si>
  <si>
    <t>Linha 156</t>
  </si>
  <si>
    <t>Infração: Contrariar o Art. 47, §1, §2 e §3,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oficiais de controle eletrônico oficiais, inclusive no que diz respeito à quantidade e espécie autorizada para transporte e armazenamento [...]”, em face de transportar 30,7440 m³ de madeira serrada de diversas espécies sem autorização do órgão ambiental competente.
Parecer Jurídico: Aplicada penalidade de multa simples no valor de 5.000 UPF’s e a manutenção do Termo de Apreensão e Depósito.
Sugestão de julgamento: Manutenção da 
penalidade de multa simples aplicada no valor de 5.000 UPF’s e a devolução dos veículos apreendidos.
Parecerista: Jonathas Valente
OBS: O autuado não solicitou em recurso a prescrição, mas o processo prescreveu entre o Parecer Jurídico de 21/08/2017 e a Manifestação Jurídica (Despacho ao COEMA) de 07/03/2022, por tanto transcorrendo mais de 3 (três) anos, assim configurando a prescrição intercorrente, art. 29, § 2º da Lei nº 9.575/2022.</t>
  </si>
  <si>
    <t>29/01/25 03:22</t>
  </si>
  <si>
    <t>Linha 157</t>
  </si>
  <si>
    <t>Infração: Contrariar o Art. 93, da Lei Estadual 5.887/1995, que dispõe: “A construção, instalação, reforma e funcionamento de empreendimentos e atividades utilizadoras e exploradoras de recursos naturais, consideradas efetiva ou potencialmente poluidoras, bem como, os capazes de causar significativa degradação ambiental, sob qualquer forma, dependerão de prévio licenciamento do órgão ambiental”, em face de instalar um garimpo em desacordo com as normas ambientais, sem licença ambiental.
Parecer Jurídico: Aplicada penalidade de multa simples no valor de 50.001 UPF’s.
Sugestão de julgamento: Cancelamento do auto de infração.
Parecerista: Jonathas Valente 
OBS: A autuada não solicitou em recurso a prescrição, mas o processo prescreveu em 20/10/2024, ou seja, entre a MJ (despacho ao COEMA de 20/10/2021, e a data supracitada, pendente de movimentação, por tanto transcorrendo mais de 3 (três) anos, assim configurando a prescrição intercorrente, art. 29, § 2º da Lei nº 9.575/2022.</t>
  </si>
  <si>
    <t>Linha 158</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</si>
  <si>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realizar exploração de recursos minerais sem autorização do órgão ambiental competente.
Parecer Jurídico: Aplicada penalidade de multa simples no valor de 10.000 UPF’s .
Sugestão de julgamento: Manutenção da penalidade de multa simples aplicada no valor de 10.000 UPF’s.
Parecerista: Rodolfo Santos</t>
  </si>
  <si>
    <t>29/01/25 03:23</t>
  </si>
  <si>
    <t>Linha 159</t>
  </si>
  <si>
    <t>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5.000 UPF’s.
Sugestão de julgamento: Manutenção da penalidade de multa simples aplicada no valor de 5.000 UPF’s.
Parecerista: Victor Oliveira</t>
  </si>
  <si>
    <t>29/01/25 03:24</t>
  </si>
  <si>
    <t>Linha 160</t>
  </si>
  <si>
    <t>Infração: Contrariar o Art. 38, da Lei Federal 9.605/1998, que dispõe: “Destruir ou danificar floresta considerada de preservação permanente, mesmo que em formação, ou utilizá-la com infringência das normas de proteção”, em face de destruir vegetação considerada de preservação permanente, mesmo que em formação, para aterramento de duas lagoas, perfazendo uma área total de 4,09 hectares.
Parecer Jurídico: Aplicada penalidade de multa simples no valor de 50.001 UPF’s.
Sugestão de julgamento: Manutenção da penalidade de multa simples aplicada no valor de 50.001 UPF’s.
Parecerista: Rodolfo Santos</t>
  </si>
  <si>
    <t>Linha 161</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</si>
  <si>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11,88 hectares de florestas ou demais formas de vegetação natural ou utilizá-la com infringência das normas de proteção em área de reserva legal sem licença do órgão ambiental ou com ele em desacordo. 
Parecer Jurídico: Aplicada penalidade de multa simples no valor de 11.000 UPF’s e a manutenção do Termo de Embargo até a apresentação de PRADA ou medidas mitigadoras e compensatórias do dano ambiental.
Sugestão de julgamento: Manutenção da penalidade de multa simples aplicada no valor de 11.000 UPF’s, bem como a manutenção do Termo de Embargo até a devida adesão do PRA.
Parecerista: Victor Oliveira</t>
  </si>
  <si>
    <t>29/01/25 03:25</t>
  </si>
  <si>
    <t>Linha 162</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</si>
  <si>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3,66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até a apresentação e aprovação de PRADA.
Sugestão de julgamento: Encaminhamento a CFISC para a devida reapreciação dos autos processuais e a manutenção do embargo até a devida comprovação de implementação do PRA.
Parecerista: Rafael Amaral</t>
  </si>
  <si>
    <t>Linha 163</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</si>
  <si>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10,283 hectares de vegetação nativa, como coautoria, sem autorização ou licença da autoridade ambiental competente.
Parecer Jurídico: Aplicada penalidade de multa simples no valor de 11.400 UPF’s e a manutenção do Termo de Embargo até a apresentação e aprovação de PRADA.
Sugestão de julgamento: Cancelamento do auto de infração, bem como o cancelamento do embargo da área.
Parecerista: Lucíula Cunha</t>
  </si>
  <si>
    <t>Linha 164</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</si>
  <si>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330,4948 hectares de florestas ou qualquer tipo de vegetação nativa ou de espécies nativas plantadas, objeto de especial preservação, sem autorização ou licença da autoridade ambiental competente.
Parecer Técnico Decisório: Aplicada penalidade de multa simples no valor de R$ 1.665.000,00 (um milhão e seiscentos e sessenta e cinco mil reais) e a manutenção do Termo de Embargo até a apresentação e aprovação de PRADA.
Sugestão de julgamento: Cancelamento do auto de infração, bem como o cancelamento do valor pecuniário aplicado e das cautelares. Sugere-se ainda o encaminhamento dos autos à DIFISC para autuação do real infrator.
Parecerista: Jossandra Pinheiro</t>
  </si>
  <si>
    <t>29/01/25 03:26</t>
  </si>
  <si>
    <t>Linha 165</t>
  </si>
  <si>
    <t>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17,5026 m³ de ripa e 37,9945 m³ de caibro de espécies diversas, sem autorização do órgão ambiental competente ou com ele em desacordo com o saldo da empresa no dia da fiscalização, a qual foi realizada no dia 03/02/2016. 
Parecer Jurídico: Aplicada penalidade de multa simples no valor de 7.501 UPF’s e a manutenção da apreensão dos bens.
Sugestão de julgamento: Manutenção da penalidade de multa simples aplicada no valor de 7.501 UPF’s.
Parecerista: Ana Carla Pinho</t>
  </si>
  <si>
    <t>Linha 166</t>
  </si>
  <si>
    <t>Infração: Contrariar o Art. 47, §1 e §2,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do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de controle eletrônico oficiais, inclusive no que diz respeito à quantidade e espécie autorizada para transporte e armazenamento”, em face de transportar 9,06 m³ de madeira, sendo 2,20 m³ de madeira serrada tábua, 3,18 m³ de alisares e 3,68 m³ de Castilhos, sem a licença válida para todo o tempo do transporte.
Parecer Jurídico: Aplicada penalidade de multa simples no valor de 7.501 UPF’s e a manutenção da apreensão dos bens.
Sugestão de julgamento: Minoração da penalidade de multa simples aplicada no valor de 7.501 UPF’s para 600 UPF’s e a manutenção do Termo de Apreensão e Depósito.
Parecerista: Jailson Pereira</t>
  </si>
  <si>
    <t>29/01/25 03:27</t>
  </si>
  <si>
    <t>Linha 167</t>
  </si>
  <si>
    <t>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órgão ambiental competente.
Parecer Jurídico: Aplicada penalidade de multa simples no valor de 50.001 UPF’s.
Sugestão de julgamento: Conversão da penalidade de multa simples para aplicação da penalidade de advertência.
Parecerista: Ana Carla Pinho</t>
  </si>
  <si>
    <t>29/01/25 03:28</t>
  </si>
  <si>
    <t>Linha 168</t>
  </si>
  <si>
    <t>Infração: Contrariar os Arts.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lanças, diretamente, no solo resíduos líquidos e sólidos sem obedecer normas e padrões estabelecidos em Lei.
Parecer Jurídico: Aplicada penalidade de multa simples no valor de 250 UPF’s.
Sugestão de julgamento: Manutenção da penalidade de multa simples aplicada no valor de 250 UPF’s.
Parecerista: Amanda Bezerra</t>
  </si>
  <si>
    <t>Linha 169</t>
  </si>
  <si>
    <t>21 - Processo: 34641/2018
Recorrente: A. H. MACHADO RODRIGUES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deposito 71,01805 m³ de madeira serrada sem autorização do órgão ambiental competente ou com ele em desacordo.
Parecer Jurídico: Aplicada penalidade de multa simples no valor de 50.000 UPF’s, bem como a manutenção do Termo de Apreensão e Depósito.
Sugestão de julgamento: Minoração da penalidade de multa simples aplicada no valor de 50.000 UPF’s para 5.000 UPF’s e a manutenção do Termo de Apreensão e Depósito.
Parecerista: Rodolfo Santos</t>
  </si>
  <si>
    <t>09/01/25 03:50</t>
  </si>
  <si>
    <t>Linha 170</t>
  </si>
  <si>
    <t>07 - Processo: 14657/2018
Recorrente: ALFA AUTO POSTO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apresentar Relatório de Informação Ambiental Anual – RIAA referente ao período 2015/2016 fora do prazo legal.
Parecer Jurídico: Aplicada a penalidade de multa simples no valor de 3.000 UPF’s.
Sugestão de julgamento: Pelo acolhimento do recurso, pela prescrição intercorrente com base na Lei 9.575/2022, Art.29, § 2°.
Parecerista: Talita Fernandes</t>
  </si>
  <si>
    <t>09/01/25 03:57</t>
  </si>
  <si>
    <t>Linha 171</t>
  </si>
  <si>
    <t>09 - Processo: 38284/2019
Recorrente: BURITIRAMA MINERAÇÃO
Infração: Contrariar os Arts. 66 e 80 do Decreto Federal nº 6.514/2008,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exigência legal do Termo de Interdição imediatamente à sua aplicação devido a operação da empresa nos dias 03 e 04/09/2019, imposta pela autoridade ambiental competente como medida de controle e 
proteção do meio ambiente.
Parecer Jurídico: Aplicada penalidade de multa simples no valor de 50.001 UPF-PA e a manutenção do Termo de Interdição.
Sugestão de julgamento: Manutenção da penalidade de multa simples aplicada no valor de 50.001 UPF’s e a suspensão do Termo de Interdição, em consonância com a decisão judicial já aplicada no processo, bem como na descaracterização de infração continuada.
Parecerista: Talita Fernandes</t>
  </si>
  <si>
    <t>09/01/25 03:56</t>
  </si>
  <si>
    <t>Linha 172</t>
  </si>
  <si>
    <t>10 - Processo: 2351/2023
Recorrente: CARLOS NORBERTO DA SILVA LIBERAL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construir canal, desviando parte do corpo hídrico para um tanque de 20x20m para futura atividade de psicultura em 0,6ha de área de preservação permanente, sem  licença do órgão ambiental competente.
Manifestação Jurídica: Aplicada penalidade de multa simples no valor de R$ 50.000,00 (cinquenta mil reais) e manutenção do termo de interdição.
Sugestão de julgamento: Manutenção da penalidade de multa simples aplicada no valor de R$ 50.000,00 (cinquenta mil reais), bem como a manutenção do Termo de Interdição.  
Parecerista:  Victor Oliveira</t>
  </si>
  <si>
    <t>Linha 173</t>
  </si>
  <si>
    <t>13 - Processo: 32293/2018
Recorrente: CARLOS VINICIOS DE MELO VIEIRA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desmatar/danificar 742,92 hectares de vegetação nativa sem autorização ou licença da autoridade ambiental competente.
Parecer Jurídico: Aplicada penalidade de multa simples no valor de 400.000 UPF’s e manutenção do termo de embargo até a devida adesão ao PRA.
Sugestão de julgamento: Pelo acolhimento do recurso, pela prescrição intercorrente com base na Lei 9.575/2022, Art.29, § 2°.
Parecerista: Rafael Amaral</t>
  </si>
  <si>
    <t>09/01/25 03:55</t>
  </si>
  <si>
    <t>Linha 174</t>
  </si>
  <si>
    <t>01 - Processo: 44643/2017 
Recorrente: COMERCIAL MANOEL PASSOS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sem autorização do órgão ambiental competente.
Parecer Jurídico: Aplicada penalidade de multa simples no valor de 5.375 UPF’s.
Sugestão de julgamento: Manutenção da penalidade de multa simples aplicada no valor de 5.375 UPF’s.
Parecerista: Talita Fernandes</t>
  </si>
  <si>
    <t>09/01/25 04:00</t>
  </si>
  <si>
    <t>Linha 175</t>
  </si>
  <si>
    <t>22 - Processo: 28999/2017
Recorrente: CONSTRUTORA M-21 
Infração: Deixar de cumprir, dentro do prazo estabelecido, as condicionantes (itens 1,2,3 e 4) da Outorga N° 267/2013, qual seja: 1. Seguir a construção do poço tubular conforme orientações das Normas Técnicas da ABNT NBR 12.212/2006 e 12.244/2006; 2. Construir cerca de proteção em torno do poço (POÇO 01) e encaminhar registro fotográfico, direcionando à DIREH/SEMA; 3. Perfurar o poço e local com condições sanitárias adequadas; 4. O requerente deverá cumprir o estabelecido em seu Relatório Técnico.
Parecer Jurídico: Aplicada penalidade de multa simples no valor de 2.000 UPF’s.
Sugestão de julgamento: Manutenção da penalidade de multa simples aplicada no valor de 2.000 UPF’s.
Parecerista: Rafael Amaral</t>
  </si>
  <si>
    <t>Linha 176</t>
  </si>
  <si>
    <t>17 - Processo: 29524/2023
Recorrente: DIRCE PASTANE DOS SANTOS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ilegalmente 478,638 hectares de vegetação nativa sem autorização ou licença da autoridade ambiental competente.
Manifestação Jurídica: Aplicada penalidade de multa simples no valor de R$ 2.395.000,00 (dois milhões e trezentos e noventa e cinco mil reais).
Sugestão de julgamento: Manutenção da penalidade de multa simples aplicada no valor de R$ 2.395.000,00 (dois milhões e trezentos e noventa e cinco mil reais), bem como a manutenção do Termo de Embargo e do Termo de Apreensão. 
Parecerista: Victor Oliveira</t>
  </si>
  <si>
    <t>09/01/25 03:53</t>
  </si>
  <si>
    <t>Linha 177</t>
  </si>
  <si>
    <t>16 - Processo: 34814/2023
Recorrente: ELITON PEREIRA DE OLIVEIRA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destruir ilegalmente 478,638 hectares de florestas ou qualquer tipo de vegetação nativa, objeto de especial preservação, em regime de coautoria, sem autorização ou licença da autoridade ambiental competente.
Manifestação Jurídica: Aplicada penalidade de multa simples no valor de R$ 2.155.500,00 (dois milhões, cento e cinquenta e cinco mil e quinhentos reais).
Sugestão de julgamento: Manutenção da penalidade de multa simples aplicada no valor de R$ 2.155.500,00 (dois milhões, cento e cinquenta e cinco mil e quinhentos reais), bem como a manutenção do Termo de Embargo e do Termo de Apreensão.
Parecerista: Rafael Amaral</t>
  </si>
  <si>
    <t>Linha 178</t>
  </si>
  <si>
    <t>30 - Processo: 49738/2023
Recorrente: FRIGOL S.A
Infração: Contrariar o Art. 62, inciso X, do Decreto Federal nº 6.514/2008, que dispõe: “  Incorre nas mesmas multas do art. 61 quem: lançar resíduos sólidos ou rejeitos in natura a céu aberto, excetuados os resíduos de mineração, ou depositá-los em unidades inadequadas, não licenciadas para a atividade”, em face de lançar diretamente no solo, resíduos com teor orgânico proveniente da atividade de matadouro/frigorífico, estando em desacordo com a licença obtida, contrariando normas e regulamentos.
Manifestação Jurídica: Aplicada penalidade de multa simples aplicada no valor de R$ 63.450,00 (sessenta e três mil e quatrocentos e cinquenta reais).
Sugestão de julgamento: Majoração da penalidade de multa simples aplicada no valor de R$ 63.450,00 (Sessenta e três mil e quatrocentos e cinquenta reais) para R$ 200.000,00 (Duzentos mil reais).
Parecerista: Amanda Bezerra</t>
  </si>
  <si>
    <t>09/01/25 03:43</t>
  </si>
  <si>
    <t>Linha 179</t>
  </si>
  <si>
    <t>29 - Processo: 53645/2018
Recorrente: GUAMÁ TRATAMENTO DE RESÍDUOS LTDA
Infração: Contrariar os Arts. 11 e 15, da Lei Estadual nº 5.887/1995 e o Art. 62, inciso V, do Decreto Federal nº 6.514/2008,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 Art. 62, inciso V “Lançar resíduos sólidos, líquidos ou gasosos ou detritos, óleos ou substâncias oleosas em desacordo com as exigências estabelecidas em leis ou atos normativos;”, em face de lançar, em coautoria, chorume em local desprovido de adequado controle ambiental, inobservando normas e padrões da legislação vigente.
Parecer Jurídico: Aplicada penalidade de multa simples aplicada no valor de 200.000 UPF’s.
Sugestão de julgamento: Pelo acolhimento do recurso, pela prescrição intercorrente com base na Lei 9.575/2022, Art.29, § 2°.
Parecerista: Rodolfo Santos</t>
  </si>
  <si>
    <t>09/01/25 03:44</t>
  </si>
  <si>
    <t>Linha 180</t>
  </si>
  <si>
    <t>08 - Processo: 13754/2018
Recorrente: GUAMÁ TRATAMENTO DE RESÍDUOS LTDA
Infração: Contrariar os Arts. 11, 13 § 1º e 2º, 22, da Lei Estadual nº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13, § 1º “No caso de utilização de solo de propriedade privada para disposição final de resíduos de qualquer natureza, deve ser observado projeto específico licenciado pelo órgão ambiental competente; § 2º  “Quando o destino final do resíduo exigir a execução de aterros, deverão ser asseguradas medidas adequadas para a proteção das águas superficiais e subterrâneas”; Art. 22 “Os efluentes de qualquer atividade somente poderão ser lançados, direta ou indiretamente nas águas interiores, superficiais ou subterrâneas e nos coletores de água desde que obedeçam aos padrões de emissão estabelecidos em legislação específica, federal e estadual”, em face de permitir o escoamento de chorume sem tratamento para a rede coletora de drenagem de águas pluviais, inobservando projeto especifico licenciado pelo órgão ambiental competente, contribuindo com a poluição e degradação do solo e do recurso hídrico do entorno (águas superficiais e subterrâneas), desobedecendo as normas e padrões de controle e proteção.
Parecer Jurídico: Aplicada penalidade de multa simples no valor de 200.000 UPF’s.
Sugestão de julgamento: Manutenção da penalidade de multa simples aplicada no valor de 200.000 UPF’s.
Parecerista: Rodolfo Santos</t>
  </si>
  <si>
    <t>Linha 181</t>
  </si>
  <si>
    <t>12 - Processo: 21482/2018
Recorrente: HUGLEISON MOITA AZEVEDO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destruir 71,92 hectares de vegetação nativa, objeto de especial preservação, sem autorização ou licença da autoridade ambiental competente.
Parecer Jurídico: Aplicada penalidade de multa simples no valor de 40.000 UPF’s.
Sugestão de julgamento: Pelo acolhimento do recurso, pela prescrição intercorrente com base na Lei 9.575/2022, Art.29, § 2°.
Parecerista: Jailson Pereira</t>
  </si>
  <si>
    <t>Linha 182</t>
  </si>
  <si>
    <t>18 - Processo: 1576/2017
Recorrente: IPEX COMÉRCIO DE MADEIRAS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189,00 m³ em créditos indevidos de madeira processada. 
Parecer Jurídico: Aplicada penalidade de multa simples no valor de 7.501 UPF’s.
Sugestão de julgamento: Manutenção da 
penalidade de multa simples aplicada no valor de 7.501 UPF’s.
Parecerista: Jossandra Pinheiro</t>
  </si>
  <si>
    <t>09/01/25 03:52</t>
  </si>
  <si>
    <t>Linha 183</t>
  </si>
  <si>
    <t>02 - Processo: 3154/2017 
Recorrente: J EILTON DE OLIVEIRA – AMAZON FISH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citada atividade no período de 15/10/2014 a 02/08/2015 sem a devida licença de operação emitida pelo órgão ambiental competente.
Parecer Jurídico: Aplicada penalidade de multa simples no valor de 1.500 UPF’s.
Sugestão de julgamento: Manutenção da penalidade de multa simples aplicada no valor de 1.500 UPF’s.
Parecerista: Jonathas Valente</t>
  </si>
  <si>
    <t>Linha 184</t>
  </si>
  <si>
    <t>15 - Processo: 34453/2020
Recorrente: JOSE MARQUES FERREIRA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 235,46 hectares de vegetação nativa, objeto de especial preservação, sem autorização ou licença da autoridade ambiental competente.
Parecer Jurídico: Aplicada penalidade de multa simples no valor de 300.000 UPF’s e a manutenção do Termo de Embargo.
Sugestão de julgamento: Manutenção da penalidade de multa simples aplicada no valor de 300.000 UPF’s e a manutenção do Termo de Embargo até a devida adesão ao PRA.
Parecerista: Jailson Pereira</t>
  </si>
  <si>
    <t>09/01/25 03:54</t>
  </si>
  <si>
    <t>Linha 185</t>
  </si>
  <si>
    <t>14 - Processo: 25280/2020
Recorrente: KÁSSIO FONSECA LACERDA
Infração: Contrariar o Art. 51, do Decreto Federal nº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8,15 hectares de florestas ou demais formas de vegetação natural ou utiliza-la com infringência das normas de proteção em área de reserva legal sem licença do órgão ambiental ou com ele em desacordo.
Parecer Jurídico:  Aplicada penalidade de multa simples no valor de 10.000 UPF’s e a manutenção do Termo de Embargo. 
Sugestão de julgamento: Manutenção da penalidade de multa simples aplicada no valor de 10.000 UPF’s, bem como a manutenção do Termo de Embargo até a devida adesão ao PRA.
Parecerista: Victor Oliveira</t>
  </si>
  <si>
    <t>Linha 186</t>
  </si>
  <si>
    <t>25 - Processo: 5607/2022
Recorrente: KPS LOCAÇÃO E NEGÓCIOS IMOBILIÁRIOS
Infração: Deixar de cumprir o item 2 do prazo de 90 dias, da Declaração de Dispensa de Outorga nº DDO-000.333/2020, qual seja: 2. Instalar hidrômetro na tubulação de saída do(s) poço(s), apresentando as especificações técnicas do equipamento e encaminhar registros fotográficos, com vista de detalhe e panorâmica, após a instalação do mesmo.
Parecer Jurídico: Aplicada penalidade de multa simples no valor de 300 UPF’s.
Sugestão de julgamento: Manutenção da penalidade de multa simples aplicada no valor de 300 UPF’s.
Parecerista: Lucíula Barbosa</t>
  </si>
  <si>
    <t>09/01/25 03:46</t>
  </si>
  <si>
    <t>Linha 187</t>
  </si>
  <si>
    <t>03 - Processo: 1075/2017
Recorrente: LAMINADOS DE MADEIRAS DO PARÁ
Infração: Contrariar o Art. 47, § 1o,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6299,2176 m³ de madeira em tora sem autorização do órgão ambiental competente.
Parecer Jurídico: Aplicada penalidade de multa simples no valor de 50.000 UPF’s e a manutenção do Termo de Apreensão e Depósito de 6299,2176 m³ de madeira em tora.
Sugestão de julgamento: Manutenção da penalidade multa simples aplicada no valor de 50.000 UPF’s. Acerca dos produtos apreendidos, recomenda-se a manutenção da apreensão, para que, no momento oportuno, esta Secretaria possa dar a melhor destinação ao bem, de acordo com suas possibilidades e o procedimento a ser adotado, observadas todas as formalidades legais e com fulcro na legislação.
Parecerista: Jonathas Valente
OBS: A autuada não solicitou em recurso a prescrição, mas o processo prescreveu entre o AIA de 09/01/2017, e o Parecer Jurídico de 23/07/2020, por tanto transcorrendo mais de 3 (três) anos, assim configurando a prescrição intercorrente, art. 29, § 2º da Lei nº 9.575/2022.</t>
  </si>
  <si>
    <t>Linha 188</t>
  </si>
  <si>
    <t>19 - Processo: 17529/2017
Recorrente: M. BERTI MADEIRAS NOBRES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ao CEPROF/SISFLORA ao informar possuir 2.833,3011 m³ de madeira serrada e em toras não localizados no pátio da empresa.
Parecer Jurídico: Aplicada penalidade de multa simples no valor de 250.000 UPF’s.
Sugestão de julgamento: Manutenção da penalidade de multa simples aplicada no valor de 250.000 UPF’s.
Parecerista: Jonathas Valente	
OBS: O autuado não solicitou em recurso a prescrição, mas o processo prescreveu entre o Parecer Jurídico de 31/07/2017 e a Manifestação Jurídica (Despacho ao COEMA) de 30/09/2020, portanto transcorrendo mais de 3 (três) anos, assim configurando a prescrição intercorrente, art. 29, § 2º da Lei nº 9.575/2022.</t>
  </si>
  <si>
    <t>Linha 189</t>
  </si>
  <si>
    <t>28 - Processo: 10977/2018
Recorrente: MADEIREIRA TUCUMÃ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235,256 m³ em créditos de madeira processada durante o procedimento de pagamento de reposição florestal.
Parecer Jurídico: Aplicada penalidade de multa simples aplicada no valor de 150.000 UPF’s.
Sugestão de julgamento: Minoração da penalidade de multa simples aplicada no valor de 150.000 UPF’s para 7.501 UPF’s.
Parecerista: LucÍula Barbosa</t>
  </si>
  <si>
    <t>09/01/25 03:45</t>
  </si>
  <si>
    <t>Linha 190</t>
  </si>
  <si>
    <t>27 - Processo: 3779/2017
Recorrente: MANOEL SEVERINO DA SILVA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aplicada no valor de 40.000 UPF’s.
Sugestão de julgamento: Processo retirado de pauta.
Parecerista: Amanda Bezerra
OBS: Processo julgado na 77ª Reunião Ordinária do COEMA.</t>
  </si>
  <si>
    <t>Linha 191</t>
  </si>
  <si>
    <t>20 - Processo: 28853/2017
Recorrente: MARCELO VIEIRA NEVES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transportar 25,118 m³ de madeira serrada com documento de origem florestal inválido. 
Parecer Jurídico: Aplicada penalidade de multa simples no valor de 7.000 UPF’s, bem como a manutenção do Termo de Apreensão e Depósito.
Sugestão de julgamento: Minoração da penalidade de multa simples aplicada no valor de 7.000 UPF’s para 2.200 UPF’s e a manutenção do Termo de Depósito e de Apreensão.
Parecerista: Victor Oliveira</t>
  </si>
  <si>
    <t>09/01/25 03:51</t>
  </si>
  <si>
    <t>Linha 192</t>
  </si>
  <si>
    <t>11 - Processo: 7605/2023
Recorrente: MINERAÇÃO MOEMA
Infração: Contrariar os Arts. 66, do Decreto Federal nº 6.514/2008 e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implantar processo de beneficiamento para disposição de rejeito úmido, com a construção de cerca de 06 (seis) microbacias, destinadas à decantação de sedimentos, além de acumulação e recirculação de água, sem a devida licença emitida por Órgão Ambiental competente. Bem como, em desacordo com o termo estabelecido na L.O. n° 13585/2022, pois não comunicou imediatamente a SEMAS/PA a alteração feita.
Manifestação Jurídica: Aplicada penalidade de multa simples no valor de R$ 4.510.500,00 (quatro milhões, quinhentos e dez mil e quinhentos reais).
Sugestão de julgamento: Minoração da penalidade multa simples aplicada no valor de R$4.510.500,00 (Quatro milhões, quinhentos e dez mil e quinhentos reais) para R$2.931.825,00 (Dois milhões, novecentos e trinta e um mil e oitocentos e vinte e cinco reais).
Parecerista: Jossandra Pinheiro</t>
  </si>
  <si>
    <t>09/01/25 04:24</t>
  </si>
  <si>
    <t>Linha 193</t>
  </si>
  <si>
    <t>05 - Processo: 27797/2017
Recorrente:  PHOSFAZ FERTILIZANTES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planta de beneficiamento com capacidade de produção superior à prevista na Licença de Instalação nº 1948/2015, portanto, em desacordo com a mesma.
Parecer Jurídico: Aplicada penalidade de multa simples no valor de 150.000 UPF’s.
Sugestão de julgamento: Manutenção da penalidade de multa simples aplicada no valor de 150.000 UPF’s.
Parecerista: Ana Carla Pinho</t>
  </si>
  <si>
    <t>09/01/25 03:59</t>
  </si>
  <si>
    <t>Linha 194</t>
  </si>
  <si>
    <t>06 - Processo: 38821/2017
Recorrente: SERABI MINERAÇÃO S/A.
Infração: Contrariar o Art. 66, do Decreto Federal nº 6.514/2008 e o Art.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ter realizado a supressão vegetal em 5 (cinco) hectares de área inserida na poligonal minerária identificada pelo n. 850.175/2003 e localizada dentro da área da empresa Serabi Mineração S/A sem a devida licença do órgão ambiental competente.
Parecer Jurídico: Aplicada penalidade de multa simples no valor de 10.000 UPF’s.
Sugestão de julgamento: Manutenção da penalidade de multa simples aplicada no valor de 10.000 UPF’s.
Parecerista: Ana Carla Pinho</t>
  </si>
  <si>
    <t>09/01/25 03:58</t>
  </si>
  <si>
    <t>Linha 195</t>
  </si>
  <si>
    <t>26 - Processo: 10043/2017
Recorrente: SÃO DOMINGOS INDUDTRIA E COMÉRCIO DE MOVEIS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CEPROF/SISFLORA ao informar possuir em seu pátio 1.647,6460 m³ de madeira serrada em produtos e espécies diversas não localizados no momento da cubagem.
Parecer Jurídico: Aplicada penalidade de multa simples aplicada no valor de 50.000 UPF’s.
Sugestão de julgamento: Majoração da penalidade de multa simples aplicada no valor de 50.000 UPF’s para 100.000 UPF’s.
Parecerista: Jailson Pereira</t>
  </si>
  <si>
    <t>Linha 196</t>
  </si>
  <si>
    <t>04 - Processo: 29940/2017
Recorrente: TIM CELULAR
Infração: Contrariar o Art. 94, da Lei Estadual n° 5.887/1995 que dispõe: “Para efeito do disposto no artigo anterior, o licenciamento obedecerá às seguintes etapas: I – Licença Prévia (LP) – emitida na fase preliminar da atividade, devendo resultar da análise dos requisitos básicos a serem atendidos quanto a sua localização, instalação e operação, observadas as diretrizes do zoneamento ecológico-econômico, sem prejuízo de atendimento ao disposto nos planos de uso e ocupação do solo; II – Licença de Instalação (LI) – emitida após a fase anterior, a qual autoriza a implantação da atividade, de acordo com as especificações constantes do projeto executivo aprovado; III – Licença de Operação (LO) – emitida após a fase anterior, a qual autoriza a operação da atividade e o funcionamento de seus equipamentos de controle ambiental, de acordo com o previsto nas Licença Prévia e de Instalação”, em face de não ter cumprido as fases do licenciamento ambiental.
Parecer Jurídico: Aplicada penalidade de multa simples no valor de 100.000 UPF’s.
Sugestão de julgamento: Minoração da penalidade de multa simples aplicada no valor de 100.000 UPF’s para 7.500 UPF’s.
Parecerista: Amanda Bezerra</t>
  </si>
  <si>
    <t>Linha 197</t>
  </si>
  <si>
    <t>23 - Processo: 10584/2017
Recorrente: VALE DOURADO MINERAÇÃO
Infração: Contrariar os Arts. 12, Inciso II e 81 inciso IV da Lei Estadual nº 6.381 /2001, que dispõem, respectivamente: “Estão sujeitos à outorga pelo Poder Público os direitos dos seguintes usos dos recursos hídricos: II – extração de água de aquífero subterrâneo para consumo final ou insumo de processo produtivo” e “Constitui infração das normas de utilização dos recursos hídricos superficiais, meteóricos e subterrâneos, emergentes ou em depósitos: IV – perfurar poços para extração de água subterrânea ou operá-los sem a devida outorga”, em face de realizar captação subterrânea sem a devida Outorga de uso de recursos hídricos emitida pelo órgão ambiental competente.
Parecer Jurídico: Aplicada penalidade de multa simples no valor de 50.000 UPF’s.
Sugestão de julgamento: Manutenção da penalidade de multa simples aplicada no valor de 50.000 UPF-PA.
Parecerista: Rodolfo Santos
OBS: Processo se encontra prescrito, mas o autuado não solicitou em recurso.</t>
  </si>
  <si>
    <t>Linha 242</t>
  </si>
  <si>
    <t>24 - Processo: 29114/2016
Recorrente: AGROPECUÁRIA BARRA DO TRIUNFO
Infração: Contrariar o art. 50, do Decreto Federal 6.514/2008, em face de desmatar 73,7988 hectares de vegetação nativa, objeto de especial preservação, sem autorização da autoridade ambiental competente.
Parecer Jurídico: Aplicada penalidade de multa simples no valor de 50.000 UPFs e a manutenção do Termo de Embargo.
Sugestão de julgamento: Incidência de prescrição intercorrente. 
Parecerista: Talita Fernandes</t>
  </si>
  <si>
    <t>08/05/25 05:48</t>
  </si>
  <si>
    <t>Linha 597</t>
  </si>
  <si>
    <t>01 - Processo: 27795/2017
Recorrente: PHOSFAZ FERTILIZANTES
Infração: Deixar de atender as condicionantes, itens 2, 3, 4 e 5, constante no Anexo I da Licença de Instalação nº 1948/2015 e desobedecer às normas legais ou regulamentares, quais sejam: 2. Apresentar a cada 365 dias o RIAA, contemplando as condicionantes da Licença e todas as informações socioeconômicas e ambientais, contendo o registro fotográfico e respectiva ART do responsável técnico; 3. Apresentar Programa de Monitoramento de resíduos sólidos e orgânicos caracterizando os resíduos gerados pelo empreendimento e destinação final; 4. Apresentar Programa de Monitoramento de Emissões atmosférica caracterizando as emissões geradas e 5. Manter a regulagem de equipamentos e máquinas, em níveis de emissão atmosférica e de ruído em conformidade com a legislação vigente.
Parecer Jurídico: Aplicada penalidade de multa simples no valor de 7.500 UPFs.
Sugestão de julgamento: Manutenção da penalidade de multa simples aplicada no valor de 7.500 UPFs. 
Parecerista: Ana Carla Pinho</t>
  </si>
  <si>
    <t>08/05/25 05:42</t>
  </si>
  <si>
    <t>Linha 598</t>
  </si>
  <si>
    <t>02 - Processo: 10288/2017
Recorrente: BARBARA CARDOSO MOURÃO
Infração: Contrariar o art. 93, da Lei Estadual 5.887/1995, em face de construir uma espécie de assoalho de madeira em Área de Proteção Ambiental, sem autorização e licenciamento do órgão ambiental competente.
Parecer Jurídico: Aplicada penalidade de multa simples no valor de 30.000 UPFs.
Sugestão de julgamento: Manutenção da penalidade de multa simples aplicada no valor de 30.000 UPFs. Em relação ao termo de interdição lavrado ao processo, existe protocolo em tramitação para regularização fundiária da área. 
Parecerista: Jailson Pereira</t>
  </si>
  <si>
    <t>Linha 599</t>
  </si>
  <si>
    <t>03 - Processo: 46954/2018
Recorrente: E CARVALHO COM E NAVEGAÇÃO
Infração: Contrariar o art. 66, inciso II, do Decreto Federal 6.514 de 2008, em face de estar operando atividade desde 26/09/2015 sem a devida Licença do órgão ambiental competente.
Parecer Jurídico: Aplicada penalidade de multa simples no valor de 20.000 UPFs.
Sugestão de julgamento: Manutenção da penalidade de multa simples aplicada no valor de 20.000 UPFs.
Parecerista: Jailson Pereira</t>
  </si>
  <si>
    <t>08/05/25 05:43</t>
  </si>
  <si>
    <t>Linha 600</t>
  </si>
  <si>
    <t>04 - Processo: 44977/2018
Recorrente: CICOMAL COLATINA IND. E COMÉRCIO DE MADEIRAS
Infração: Deixar de atender o item 2, cláusula segunda, do Termo de Ajustamento de Conduta, TAC nº 58/2015, condicionante constante no Anexo I da Autorização de Funcionamento, AF nº 5098/2015, qual seja: 2. Apresentar, no prazo de 90 dias, os documentos constantes nos incisos I e II, do art. 10 da Instrução Normativa nº 59/2010, visando a obtenção de Licença de Operação.
Parecer Jurídico: Aplicada penalidade de multa simples no valor de 1.000 UPFs.
Sugestão de julgamento: Manutenção da penalidade de multa simples aplicada no valor de 1.000 UPFs. 
Parecerista: Jonathas Valente
Obs.: A autuada não solicitou em recurso a prescrição, mas o processo prescreveu entre a Notificação de 19/09/2018 e o Parecer Jurídico, de 03/06/2022, por tanto transcorrendo mais de 3 (três) anos, assim configurando a prescrição intercorrente, art. 29 § 2º da Lei nº 9.575/2022.</t>
  </si>
  <si>
    <t>Linha 601</t>
  </si>
  <si>
    <t>05 - Processo: 43501/2018
Recorrente: EMPRESA DE TRANSPORTES SES
Infração: Contrariar o art. 66, do Decreto Federal 6.514/2008, em face de ter operado atividade no período de 23/11/2016 a 17/08/2017 (633 dias) sem a devida autorização do Órgão Ambiental competente.
Parecer Jurídico: Aplicada penalidade de multa simples no valor de 7.000 UPFs.
Sugestão de julgamento: Manutenção da penalidade de multa simples aplicada no valor de 7.000 UPFs.
Parecerista: Ana Carla Pinho</t>
  </si>
  <si>
    <t>Linha 602</t>
  </si>
  <si>
    <t>06 - Processo: 8587/2019
Recorrente: SANTA IZABEL ALIMENTOS
Infração: Contrariar o art. 66, inciso II, do Decreto Federal 6.514/2008, em face de deixar de cumprir as condicionantes referentes ao sistema de fertirrigação, bem como os relatórios técnicos de análises físicas e químicas do solo, desobedecendo às normas legais, padrões e regulamentos relacionados a proteção do meio ambiente.
Parecer Jurídico: Aplicada penalidade de multa simples no valor de 7.501 UPFs.
Sugestão de julgamento: Manutenção da penalidade de multa simples aplicada no valor de 7.501 UPFs.
Parecerista: Amanda Bezerra
Obs.: O processo prescreveu entre a Notificação nº 117494 de 12/03/2019, e a Notificação nº 158522 com data em 06/10/2022, por tanto transcorrendo mais de 3 (três) anos, assim configurando a prescrição intercorrente, art. 29, § 2º da Lei nº 9.575/2022. Ressaltando que o autuado não suscitou em recurso</t>
  </si>
  <si>
    <t>Linha 603</t>
  </si>
  <si>
    <t>07 - Processo: 15510/2019
Recorrente: CFA CONSTRUÇÕES TERRAPLENAGEM E PAVIMENTAÇÃO
Infração: Contrariar o art. 66, inciso II, do Decreto Federal 6.514/2008, em face de deixar de atender, até a data de 29 de março de 2017, os itens 1 e 2 das condicionantes da Licença de Operação nº 8268/2014, vencidos em 24 de junho de 2014, quais sejam: 1. A cada 365 dias deverá ser apresentado RIAA, acompanhado de declaração de veracidade das informações, assinado pelo representante legal e responsável técnico da empresa, ao qual deverão ser juntados o Alvará de Funcionamento em vigência, DAE quitado e outros documentos. Deverá constar no presente RIAA o registro de conformidades inconformidades, bem como os certificados de destinação de resíduos e 2. Deverá desenvolver as suas atividades utilizando apenas a frota de veículos discriminados da Licença.
Parecer Jurídico: Aplicada penalidade de multa simples no valor de 250 UPFs.
Sugestão de julgamento: Manutenção da penalidade de multa simples aplicada no valor de 250 UPFs. 
Parecerista: Amanda Bezerra</t>
  </si>
  <si>
    <t>Linha 604</t>
  </si>
  <si>
    <t>08 - Processo: 8879/2019
Recorrente: CASFRISA FRIGORÍFICO INDUSTRIAL DE CASTANHAL
Infração: Contrariar o art. 66, do Decreto Federal 6.514/2008, em face de ter ampliado as instalações do empreendimento sem licença ambiental ou em descordo com a licença da empresa.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AIA (08/05/2019) e Parecer Jurídico (26/05/2022).</t>
  </si>
  <si>
    <t>Linha 605</t>
  </si>
  <si>
    <t>09 - Processo: 21995/2019
Recorrente: PANIFICADORA MIL SABORES
Infração: Contrariar o art. 93, da Lei Estadual 5.887/1995, em face de construir estruturas (galpão e área administrativa) necessárias para a atividade sem a devida licença do órgão ambiental competente, bem como deixar de atender as fases preliminares do licenciamento ambiental.
Parecer Jurídico: Aplicada penalidade de multa simples no valor de 50.000 UPFs.
Sugestão de julgamento: Manutenção da penalidade de multa simples aplicada no valor de 50.000 UPFs 
Parecerista: Talita Fernandes</t>
  </si>
  <si>
    <t>08/05/25 05:44</t>
  </si>
  <si>
    <t>Linha 606</t>
  </si>
  <si>
    <t>10 - Processo: 29072/2019
Recorrente: PREFEITURA MUNICIPAL DE BRAGANÇA
Infração: Contrariar o art. 77, do Decreto Federal 6.514/2008, em face de dificultar a fiscalização na área de instalação da Unidade de Pronto Atendimento (UPA) do município de Bragança.
Parecer Jurídico: Aplicada penalidade de multa gravíssima no valor de 50.001 UPFs.
Sugestão de julgamento: Manutenção da penalidade de multa simples aplicada no valor de 50.001 UPFs. 
Parecerista: Talita Fernandes
Obs.: Processo com prescrição intercorrente, não suscitada em recurso, ocorrida no período entre a notificação da penalidade (15/09/2020) e notificação de comparecimento à audiência (02/05/2024).</t>
  </si>
  <si>
    <t>Linha 607</t>
  </si>
  <si>
    <t>11 - Processo: 27074/2020
Recorrente: WESLLEY JESUS SILVA
Infração: Contrariar o art. 57, do Decreto Federal 6.514/2008, em face de portar 1 motosserra, em floresta, sem licença ou registro da autoridade ambiental competente.
Parecer Jurídico: Aplicada penalidade de multa simples no valor de 7.501 UPFs e a manutenção do Termo de Apreensão.
Sugestão de julgamento: Minoração do valor da penalidade para 209 UPFs e o perdimento do bem (01 motoserra de marca Sthill MS 650 Magnum).
Parecerista: Jailson Pereira</t>
  </si>
  <si>
    <t>Linha 608</t>
  </si>
  <si>
    <t>12 - Processo: 13957/2020
Recorrente: L MAGALHÃES DE SOUZA
Infração: Contrariar o art. 47, §1, do Decreto Federal 6.514/2008, em face de vender 120.000 unidades de cabo de vassoura, sem licença válida para todo o tempo da viajem, outorgada pela autoridade competente.
Parecer Jurídico: Aplicada penalidade de multa simples no valor de 10.000 UPFs.
Sugestão de julgamento: Manutenção da penalidade de multa simples aplicada no valor de 10.000 UPFs. 
Parecerista: Jonathas Valente
Obs.: A autuada é reincidente em matéria ambiental Processo nº 2020/2396, onde foi condenada na 1ª Plenária Extraordinária do dia 22/05/2023.</t>
  </si>
  <si>
    <t>Linha 609</t>
  </si>
  <si>
    <t>Linha 610</t>
  </si>
  <si>
    <t>14 - Processo: 29588/2017
Recorrente: SISTEMAS INTERNACIONAL DE ENERGIA – SOENERGY
Infração: Deixar de cumprir parcialmente os itens 4 e 5 da relação de Condicionantes do prazo 365 dias, até 04/01/2017, dispostas no Anexo da Outorga nº 827/2013, quais sejam: 4. Realizar monitoramento da qualidade da água através de análise bacteriológica e físico-química do poço, de acordo com os parâmetros de aceitação para consumo humano, encaminhando laudo das análises e relatório técnico deste monitoramento; esta análise deverá ser realizada a cada 6 meses até o vencimento da Outorga e 5. Realizar limpeza e desinfecção do poço e encaminhar laudo comprovando a realização.
Parecer Jurídico: Aplicada penalidade de multa simples no valor de 7.000 UPFs.
Sugestão de julgamento: Manutenção da penalidade de multa simples aplicada no valor 7.000 UPFs. 
Parecerista: Ana Carla Pinho</t>
  </si>
  <si>
    <t>Linha 611</t>
  </si>
  <si>
    <t>15 - Processo: 17303/2017
Recorrente: JÚLIO SIMÕES LOGÍSTICA – JSL
Infração: Contrariar o art. 81, inciso III, da Lei Estadual 6.381/2001, em face de deixar de cumprir as condicionantes do Anexo I da Outorga nº 1060/2013, contrariando as exigências do órgão ambiental competente ou com ele em desacordo.
Parecer Jurídico: Aplicada penalidade de multa simples no valor de 3.500 UPFs.
Sugestão de julgamento: Manutenção da penalidade de multa simples aplicada no valor de 3.500 UPFs.
Parecerista: Amanda Bezerra 
Obs.: O processo prescreveu no período de 021/07/2021, data da MJ nº 9533/21, até a data 02/12/2024 da MJ nº 18070/24, por tanto transcorrendo mais de 3 (três) anos, assim configurando a prescrição intercorrente, art. 29, § 2º da Lei nº 9.575/2022.</t>
  </si>
  <si>
    <t>08/05/25 05:45</t>
  </si>
  <si>
    <t>Linha 612</t>
  </si>
  <si>
    <t>16 - Processo: 26057/2018
Recorrente: AGROPALMA
Infração: Deixar de cumprir as condicionantes dos itens 3 e 4 relacionadas no Anexo I da Outorga nº 1416/2014, quais sejam: 3. Realizar limpeza e desinfecção do poço 3 por empresa credenciada no CREA/PA e 4. Realizar o acompanhamento dos volumes captados de acordo com o Anexo II disponível no site da SEMAS.
Parecer Jurídico: Aplicada penalidade de multa simples no valor de 2.000 UPFs.
Sugestão de julgamento: Manutenção da penalidade de multa simples aplicada no valor de 2.000 UPFs.
Parecerista: Jailson Pereira
Obs.: O processo se encontra prescrito</t>
  </si>
  <si>
    <t>Linha 613</t>
  </si>
  <si>
    <t>17 - Processo: 7831/2018
Recorrente: FERMAR INDÚSTRIA DE FERRO DE LIGAS MARABÁ
Infração: Deixar de cumprir integralmente as condicionantes dos itens 5, 6, e 7 presentes no Anexo I da Outorga nº 496/2010, quais sejam: 5. Efetuar um cronograma de monitoramento da qualidade da água através de análise bacteriológica e físico-química e apresenta-la através de relatórios, no ato da renovação desta Outorga; 6. Executar limpeza e desinfecção dos poços anualmente, com laudo comprobatório anexado no processo de renovação da Outorga e 7. Apresentar histórico de vazões dos poços, assim como o número de dias de funcionamento.
Parecer Jurídico: Aplicada penalidade de multa simples no valor de 7.501 UPFs.
Sugestão de julgamento: Manutenção da penalidade de multa simples aplicada no valor de 7.501 UPFs. 
Parecerista: Amanda Bezerra
OBS.: Sugestão de majoração de multa para 15.000 UPF’s.</t>
  </si>
  <si>
    <t>Linha 614</t>
  </si>
  <si>
    <t>18 - Processo: 22078/2019
Recorrente: TAPAJÓS ALIMENTOS
Infração: Contrariar o art. 12, inciso II, da Lei Estadual 6.381/2001, em face de captar água subterrânea em 1 (um) poço tubular sem autorização do Órgão ambiental competente no período de 02/06/2013, quando expirou a Outorga Nº 286/2010, até o dia 06/07/2015, por ocasião da emissão da Outorga Nº 1861/2015.
Parecer Jurídico: Aplicada penalidade de multa simples no valor de 4.000 UPFs.
Sugestão de julgamento: Manutenção da penalidade de multa simples aplicada no valor de 4.000 UPFs.
Parecerista: Jailson Pereira 
Obs.: Sugestão de majoração para 20.000 UPFs usando como parâmetro acordão 678 da 9º plenária.</t>
  </si>
  <si>
    <t>Linha 615</t>
  </si>
  <si>
    <t>19 - Processo: 15508/2019
Recorrente: 2ML INDÚSTRIA DE ARGAMASSAS
Infração: Contrariar o art. 66, inciso II, do Decreto Federal 6.514/2008, em face de deixar de atender as condicionantes da declaração de dispensa de outorga de direito de uso de recursos hídricos nº 1149/2015.
Parecer Jurídico: Aplicada penalidade de multa simples no valor de 500 UPFs
Sugestão de julgamento: Manutenção da penalidade de multa simples aplicada no valor de 500 UPFs.
Parecerista: Jonathas Valente
Obs.: Sugestão de majoração para 2.000 UPF’s</t>
  </si>
  <si>
    <t>Linha 616</t>
  </si>
  <si>
    <t>20 - Processo: 21500/2019
Recorrente: IPIRANGA PRODUTOS DE PETRÓLEO
Infração: Contrariar o art. 66, inciso II, do Decreto Federal 6.514/2008, em face de não ter atendido o item 4 da outorga nº 507/2014, qual seja: 4. Realizar monitoramento da qualidade da água do poço através de análises físico-químicas e bacteriológicas para os parâmetros estabelecidos.
Parecer Jurídico: Aplicada penalidade de multa simples no valor de 2.000 UPFs
Sugestão de julgamento: Manutenção da penalidade de multa simples aplicada no valor de 2.000 UPFs. 
Parecerista: Jonathas Valente 
Obs.: Sugestão de majoração para 5.000 UPF’s</t>
  </si>
  <si>
    <t>Linha 617</t>
  </si>
  <si>
    <t>21 - Processo: 21459/2019
Recorrente: AÇAÍ DA AMAZÔNIA EXPORTADORA DE BEBIDAS
Infração: Deixar de cumprir as condicionantes no verso da Outorga Nº 885/2013, itens 2, 3, 4, 5 e 6, quais sejam: 2. Instalar hidrômetro na tubulação do poço, encaminhando a descrição da especificação técnica do hidrômetro e registro fotográfico do poço em detalhe e panorâmica, após instalação do hidrômetro; 3. Realizar monitoramento da qualidade da água através de análises bacteriológicas e físico-química do poço, de acordo com os parâmetros de aceitação para consumo humano, encaminhando relatório técnico deste monitoramento; 4. Realizar limpeza e desinfecção do poço e encaminhar laudo comprovando a realização; 5. Realizar acompanhamento mensal do volume outorgado de acordo com o Anexo II disponível no site da SEMAS e 6. O empreendimento estará sujeito as ações de fiscalização a qualquer momento para averiguação das informações constantes no processo, bem como o cumprimento das condicionantes.
Parecer Jurídico: Aplicada penalidade de multa simples no valor de 10.000 UPFs.
Sugestão de julgamento: Manutenção da penalidade de multa simples aplicada no valor de 10.000 UPFs.
Parecerista: Talita Fernandes</t>
  </si>
  <si>
    <t>08/05/25 05:47</t>
  </si>
  <si>
    <t>Linha 618</t>
  </si>
  <si>
    <t>Linha 619</t>
  </si>
  <si>
    <t>23 - Processo: 31189/2021
Recorrente: ANDREAS MARTENS
Infração: Contrariar o art. 81, incisos I, IV e VI, da Lei Estadual 6.381/2001, em face de captar água subterrânea sem a devida Declaração de Dispensa de Outorga ou Outorga de Direito de Uso de Recursos Hídricos.
Parecer Jurídico: Aplicada penalidade de multa simples aplicada no valor de 5.000 UPFs.
Sugestão de julgamento: Manutenção da penalidade de multa simples aplicada no valor de 5.000 UPFs.
Parecerista: Amanda Bezerra</t>
  </si>
  <si>
    <t>Linha 620</t>
  </si>
  <si>
    <t>25 - Processo: 33057/2020
Recorrente: MARCELO NORKEY DUARTE PEREIRA
Infração: Contrariar o art. 53, do Decreto Federal 6.514/2008, em face de desmatar 5,55 hectares em área localizada fora de reserva legal, sem aprovação prévia do órgão ambiental competente.
Parecer Jurídico: Aplicada penalidade de multa simples no valor de 415 UPFs e a manutenção do Termo de Embargo.
Sugestão de julgamento: Manutenção da penalidade de multa simples aplicada no valor de 415 UPFs e a manutenção do Termo de Embargo até a adesão ao PRA. 
Parecerista: Jonathas Valente</t>
  </si>
  <si>
    <t>Linha 621</t>
  </si>
  <si>
    <t>26 - Processo: 36551/2020
Recorrente: WESLEY ROCHA VIENA
Infração: Contrariar o art. 53, do Decreto Federal 6.514/2008, em face de desmatar 0,88 hectares localizados fora da Área de Reserva Legal (ARL), sem autorização ou licença da autoridade ambiental competente.
Parecer Jurídico: Aplicada penalidade de multa simples no valor de 50.001 UPFs e a manutenção do Termo de Embargo.
Sugestão de julgamento: Cancelamento do auto de infração, bem como o cancelamento do Termo de Embargo. 
Parecerista: Jailson Pereira</t>
  </si>
  <si>
    <t>08/05/25 05:49</t>
  </si>
  <si>
    <t>Linha 622</t>
  </si>
  <si>
    <t>27 - Processo: 18521/2024
Recorrente: VALDEMAR LIMPER
Infração: Contrariar o art. 50, do Decreto Federal 6.514/2008, em face de destruir ou danificar, com uso de fogo, 48,7414 hectares de florestas ou qualquer tipo de vegetação nativa ou de espécies nativas plantadas.
Manifestação Jurídica: Aplicada penalidade de multa no valor de R$ 330.750,00 (trezentos e trinta mil, setecentos e cinquenta reais) e a manutenção do Termo de Embargo, Termo de Apreensão e Termos de Depósito.
Sugestão de julgamento: Manutenção da penalidade de multa simples aplicada no valor de R$ 330.750,00 (trezentos e trinta mil, setecentos e cinquenta reais), bem como a manutenção do Termo de Embargo, Termo de Apreensão e Termos de Depósito.
Parecerista: Amanda Bezerra</t>
  </si>
  <si>
    <t>Linha 623</t>
  </si>
  <si>
    <t>28 - Processo: 9492/2018
Recorrente: CINDEX – COMÉRCIO INDUSTRIA E EXPORTAÇÃO DE MADEIRA 
Infração: Contrariar o art. 82, do Decreto Federal 6.514/2008, por prestar informações falsas - aproximadamente 7 m³ de tora de pequi em sistemas oficiais. 
Parecer Jurídico: Aplicada penalidade de multa simples no valor de 10.000 UPFs.
Sugestão de julgamento: Minoração do valor da penalidade de multa simples para 1.500 UPFs. 
Parecerista: Ana Carla Pinho  
Obs.: Processo prescrito da data do despacho ao COEMA (28/01/2022). Prescrição não suscitada
Obs.: No processo em questão, consideramos a volumetria da madeira de 7 m³ bem como a incidência da atenuante de colaboração com a fiscalização a fim de balizar com o processo nº 2018/0000009492 que houve condenação em 7.500 UPFs.</t>
  </si>
  <si>
    <t>Linha 624</t>
  </si>
  <si>
    <t>29 - Processo: 9496/2018
Recorrente: CINDEX – COMÉRCIO INDUSTRIA E EXPORTAÇÃO DE MADEIRA 
Infração: Contrariar o art. 82, do Decreto Federal 6.514/2008, em face de apresentar informações totais ou parcialmente falsas ao sistema oficial de controle estadual (SISFLORA/CEPROF) ao informar possuir 148,5753 m³ de madeira em tora.
Parecer Jurídico: Aplicada penalidade de multa simples no valor de 7.500 UPFs.
Sugestão de julgamento: Manutenção da penalidade de multa simples aplicada no valor de 7.500 UPFs.
Parecerista: Ana Carla Pinho
Obs.: Processo Prescrito da data do despacho ao COEMA (15/08/2021). Prescrição não suscitada</t>
  </si>
  <si>
    <t>Linha 625</t>
  </si>
  <si>
    <t>30 - Processo: 39505/2019
Recorrente: LAÉRCIO GONÇALVES DA SILVA
Infração: Contrariar o art. 82, do Decreto Federal 6.514/2008, em face de apresentar informação parcialmente enganosa em procedimento nesta SEMAS, visto que em documento declarou ter 3 curiós em sua posse, porém realizou a entrega voluntária apenas de 1 animal, conforme Termo de Entrega Voluntária.
Parecer Jurídico: Aplicada penalidade de multa simples no valor de 500 UPFs.
Sugestão de julgamento: Manutenção da penalidade de multa simples aplicada no valor de 500 UPFs.
Parecerista: Amanda Bezerra
OBS: Sugestão de majoração de multa para 750 UPF’s, sendo 250 UPF’s para cada passarinho.</t>
  </si>
  <si>
    <t>Linha 626</t>
  </si>
  <si>
    <t>31 - Processo: 39308/2017
Recorrente: MIGUEL PORTO RODRIGUES
Infração: Contrariar o art. 47, §1 e §3, do Decreto Federal 6.514/2008, em face de transportar 318, 36 m³ de madeira em tora (211 unidades) de diversas espécies, no Rio Moju, sem autorização do órgão ambiental competente.
Parecer Jurídico: Aplicada penalidade de multa simples no valor de 7.500 UPFs.
Sugestão de julgamento: Minoração do valor da penalidade de multa simples para 500 UPFs e manutenção do termo de apreensão para que o pleno recomende pela destinação mais apropriada: doação, leilão e/ou destruição.
Parecerista: Jailson Pereira</t>
  </si>
  <si>
    <t>Linha 627</t>
  </si>
  <si>
    <t>32 - Processo: 45659/2018
Recorrente: IMDEX COMÉRCIO E EXPORTAÇÃO
Infração: Contrariar o art. 47, §1, do Decreto Federal 6.514/2008, em face de ter em depósito 620, 2656 m³ de produto de origem florestal sem licença válida para todo o tempo de armazenamento.
Parecer Jurídico: Aplicada penalidade de multa simples aplicada 40.000 UPFs e a manutenção do Termo de Apreensão.
Sugestão de julgamento: Manutenção da penalidade de multa simples aplicada no valor de 40.000 UPFs. 
Parecerista: Ana Carla Pinho 
Obs.: Processo prescrito em 17/03/2023 da data notificação da manifestação jurídica. Prescrição não suscitada.</t>
  </si>
  <si>
    <t>Linha 628</t>
  </si>
  <si>
    <t>33 - Processo: 43292/2019
Recorrente: CUPIXI FLORESTAL
Infração: Contrariar o art. 47, §1 e §3, do Decreto Federal 6.514/2008, em face de transportar 32, 2056 m³ de madeira serrada de diversas espécies sem autorização do órgão ambiental competente ou com ele em desacordo. Foi encontrado no caminhão um pacote de 2m³ de madeira serrada do tipo ripa e o mesmo não estava descrito.
Parecer Jurídico: Aplicada penalidade de multa simples no valor de 4.000 UPFs.
Sugestão de julgamento: Manutenção da penalidade de multa simples aplicada no valor de 4.000 UPFs.
Parecerista: Jonathas Valente 
Obs.: A autuada não solicitou em recurso a prescrição, mas o processo prescreveu entre a Notificação da penalidade de 05/03/2020 e a Manifestação Jurídica (Despacho ao TRA), de 12/09/2023, por tanto transcorrendo mais de 3 (três) anos, assim configurando a prescrição intercorrente, art. 29 § 2º da Lei nº 9.575/2022.</t>
  </si>
  <si>
    <t>08/05/25 05:50</t>
  </si>
  <si>
    <t>Linha 629</t>
  </si>
  <si>
    <t>34 - Processo: 47699/2019
Recorrente: EDVANIO TORRES PASCOAL DE SOUSA
Infração: Contrariar o art. 47, §1 e §3, do Decreto Federal 6.514/2008, em face de estar transportando 24, 86 m³ de produto de origem florestal de diversas espécies, em desacordo com a GF, conforme TCO da PRF.
Parecer Jurídico: Aplicada penalidade de multa simples no valor de 3.000 UPFs.
Sugestão de julgamento: Manutenção da penalidade de multa simples aplicada no valor de 3.000 UPFs.
Parecerista: Jonathas Valente 
Obs.: O autuado não solicitou em recurso a prescrição, mas o processo prescreveu entre a Notificação de 14/04/2020 e a Notificação da penalidade de 21/07/2023, por tanto transcorrendo mais de 3 (três) anos, assim configurando a prescrição intercorrente, art. 29 § 2º da Lei nº 9.575/2022.</t>
  </si>
  <si>
    <t>Linha 630</t>
  </si>
  <si>
    <t>35 - Processo: 22590/2019
Recorrente: WALLISTON GOMES BARROS
Infração: Contrariar o art. 35, inciso II, do Decreto Federal 6.514/2008, em face de estar pescando utilizando aparelho de pesca não permitido (Arpão de pesca subaquática) no Lago de Tucuruí.
Parecer Jurídico: Aplicada penalidade de multa simples no valor de 300 UPFs e manutenção do Termo de Apreensão e Depósito.
Sugestão de julgamento: Manutenção da penalidade de multa simples aplicada no valor de 300 UPFs, bem como a manutenção do Termo de Apreensão e Depósito.
Parecerista: Talita Fernandes</t>
  </si>
  <si>
    <t>Planilha</t>
  </si>
  <si>
    <t>@gabrielodane@gmail.com @tovani@dextro.com.br  Necessito acesso pra alterar a forma de classificar as linhas na coluna "RECORRENTE" na planilha "PROCESSOS TRA", por favor.</t>
  </si>
  <si>
    <t>29/01/25 06:27</t>
  </si>
  <si>
    <t>Manutenção</t>
  </si>
  <si>
    <t>Minoração</t>
  </si>
  <si>
    <t>Majoração</t>
  </si>
  <si>
    <t>Conversão</t>
  </si>
  <si>
    <t>ordem</t>
  </si>
  <si>
    <t>número_do_processo</t>
  </si>
  <si>
    <t>situacao</t>
  </si>
  <si>
    <t>data_plenaria</t>
  </si>
  <si>
    <t>recorrente</t>
  </si>
  <si>
    <t>técnico_resposável</t>
  </si>
  <si>
    <t>valor_upf</t>
  </si>
  <si>
    <t>multa_upf</t>
  </si>
  <si>
    <t>valor_da_multa</t>
  </si>
  <si>
    <t>resultado_plenária</t>
  </si>
  <si>
    <t>valor_sugerido</t>
  </si>
  <si>
    <t>valor_pos_plenaria</t>
  </si>
  <si>
    <t>obs</t>
  </si>
  <si>
    <t>local</t>
  </si>
  <si>
    <t>mês_da_viagem_número</t>
  </si>
  <si>
    <t>mês</t>
  </si>
  <si>
    <t>atividade1</t>
  </si>
  <si>
    <t>valor_ajustado</t>
  </si>
  <si>
    <t>Desmatamento</t>
  </si>
  <si>
    <t>Outorga</t>
  </si>
  <si>
    <t>Licenciamento</t>
  </si>
  <si>
    <t>Informações falsas</t>
  </si>
  <si>
    <t>ASSOCIAÇÃO SURUBIM DOS PRODUTORES RURAIS DE ANAPU 0 ASPRAN</t>
  </si>
  <si>
    <t>C R S LAMINADOS E FAQUEADOS LTDA 0 EPP</t>
  </si>
  <si>
    <t>COMPANHIA DE SANEAMENTO DO TOCANTINS 0 SANEATINS</t>
  </si>
  <si>
    <t>SANTA FÉ INDÚSTRIA E COMÉRCIO LTDA 0 ME</t>
  </si>
  <si>
    <t>ROSSIMA INDUSTRIA E COMERCIO DE MADEIRAS LTDA 0 ME</t>
  </si>
  <si>
    <t>F. J. COM E IND. MADEIRAS LTDA 0 ME</t>
  </si>
  <si>
    <t>CENTRO UNIVERSITARIO LUTERANO DE SANTARÉM0 CEULS</t>
  </si>
  <si>
    <t>ROSEVI PEREIRA DOS SANTOS 0 SITIO DA AREA VERDE</t>
  </si>
  <si>
    <t>JEREMIAS ALMEIDA DOS SANTOS 0 FAZENDA JATOBA</t>
  </si>
  <si>
    <t>EMPRESA BRASILEIRA DE INFRAESTRUTURA AEROPORTUÁRIA 0 INFRAERO</t>
  </si>
  <si>
    <t>JOSÉ RIBAMAR DA COSTA 0 FAZENDA LIMÃO</t>
  </si>
  <si>
    <t>MC PRODUTOS AGRO0PECUÁRIOS LTDA</t>
  </si>
  <si>
    <t>DIRECIONAL DIAMANTE EMP. IMOBILIÁRIOS 0 BELLA CITTÁ TOTAL VILLE</t>
  </si>
  <si>
    <t>COMPANHIA DE SANEAMENTO DO PARÁ 0 COSANPA</t>
  </si>
  <si>
    <t>manutenção do termo  de apreensão TAD023004/1249704.</t>
  </si>
  <si>
    <t>MADEIREIRA MADEVAL LTDA 0 ME</t>
  </si>
  <si>
    <t>Cancelamento do Auto de Infração AUT010S0/20005000291</t>
  </si>
  <si>
    <t>UNIAO GOOD PAX SERVIÇOS POSTUMOS LTDA 0 EPP</t>
  </si>
  <si>
    <t>ASSOC. DAS COM. REM. DE QUILOMBOS DA PANCADA 0 ACORQE</t>
  </si>
  <si>
    <t>Processo retirado de pauta para complementação da defesa pela autuada, no prazo estabelecido de 10 dias uteis, e o cancelamento do Termo de Interdição nº TIT02400830GEFLOR</t>
  </si>
  <si>
    <t>A. H. MACHADO RODRIGUES 0 ME</t>
  </si>
  <si>
    <t>CONSTRUTORA M021 LTDA 0 LOTEAMENTO RESIDENCIAL JK</t>
  </si>
  <si>
    <t>GUAMÁ 0 TRATAMENTO DE RESÍDUOS LTDA</t>
  </si>
  <si>
    <t>M. BERTI MADEIRA NOBRES EIRELI 0 EPP</t>
  </si>
  <si>
    <t>DILSO SPERAFICO 0 FAZENDA REUNIDAS LIGAÇAO</t>
  </si>
  <si>
    <t>INDUFEX0 INDÚSTRIA FURLANETO E EXPORTAÇÃO LTDA</t>
  </si>
  <si>
    <t>INDÚSTRIA DE ESQUADRIAS BARSA EIRELI 0 EPP</t>
  </si>
  <si>
    <t>RRX MINERAÇÃO E SERVIÇOS LTDA 0 EPP</t>
  </si>
  <si>
    <t>MADBRASIL EIRELI 0 EPP</t>
  </si>
  <si>
    <t>MADEIREIRA CINCO ESTRELAS LTDA 0 ME</t>
  </si>
  <si>
    <t>SUCOPAR INDÚSTRIA E COMÉRCIO DE SUCOS LTDA0ME</t>
  </si>
  <si>
    <t>CURIONÓPOLIS INDÚSTRIA E COMÉRCIO DE MADEIRAS LTDA 0 ME</t>
  </si>
  <si>
    <t>MADEIREIRA CANAA LTDA EPP 0 FILIAL</t>
  </si>
  <si>
    <t>MINERVA S.A. 0 MINERVA</t>
  </si>
  <si>
    <t>VOTORANTIM CIMENTOS N0NE S.A</t>
  </si>
  <si>
    <t>ASSOCIAÇÃO DAS PIONEIRAS SOCIAIS 0 HOSPITAL SARAH</t>
  </si>
  <si>
    <t>FAZENDA FLORIPA 0 ROZELI BECKER DOS SANTOS</t>
  </si>
  <si>
    <t>INCRA0 INSTITUTO NACIONAL DE COLONIZAÇÃO E REFORMA AGRÁRIA</t>
  </si>
  <si>
    <t>AMAZON FISH COMÉRCIO E DISTRIBUIDORA DE ALIMENTOS LTDA 0 ME</t>
  </si>
  <si>
    <t>LACARPEX 0 LAMINADOS CARPINTARIA E EXPORTAÇÃO LTDA 0 ME</t>
  </si>
  <si>
    <t>MADEIREIRA DIMENSÃO EIRELE0EPP</t>
  </si>
  <si>
    <t>MADEIREIRA GUAJARÁ0PARÁ LTDA 0 EPP</t>
  </si>
  <si>
    <t>MADEIREIRA LUZEL LTDA 0 EPP</t>
  </si>
  <si>
    <t>MATRA0iND. COM. AGROP. EXP. LTDA</t>
  </si>
  <si>
    <t>RONDOBEL FLORESTAL 0 LOTE 06 E 07</t>
  </si>
  <si>
    <t>SERRARIA PIRIA LTDA 0 ME</t>
  </si>
  <si>
    <t>Silvanda Bezerra de Lima0 Fazenda Joelandia</t>
  </si>
  <si>
    <t>W. A. J. COMÉRCIO E SERVIÇOS LTDA 0 WAJ AMBIENTAL</t>
  </si>
  <si>
    <t>AGRO0CENTER IANETAMA COMERCIO DE ADUBOS E FERRAGENS LTDA EPP</t>
  </si>
  <si>
    <t>ANTONIO ERIC VIANA PEREIRA EIRELI 0 ME</t>
  </si>
  <si>
    <t>ASSOCIAÇÃO SURUBIM DOS PRODUTORES RURAIS DE ANAPU 0 PA PILÃO II AREA 104,2085 HA</t>
  </si>
  <si>
    <t>FLORAMAZON IND. E COM. DE MADEIRAS LTDA 0 EPP</t>
  </si>
  <si>
    <t>HOTEL MIRANTE DA ILHA LTDA 0 ME</t>
  </si>
  <si>
    <t>LAVOURA E FRISSO LTDA 0 ME</t>
  </si>
  <si>
    <t>MADEIREIRA IDEAL, INDÚSTRIA, COMÉRCIO E EXPORTAÇÃO LTDA 0 EPP</t>
  </si>
  <si>
    <t>MADEIREIRA INTERLAGOS LTDA 0 EPP</t>
  </si>
  <si>
    <t>NUCLEO DE GERENCIAMENTO DE TRANSPORTE METROPOLITANO 0 NGTM</t>
  </si>
  <si>
    <t>POSTO CARIRI LTDA 0ME</t>
  </si>
  <si>
    <t>ASS. DOS PROD. DO RIO MAMURU 0 APRIM</t>
  </si>
  <si>
    <t>ASSOCIAÇÃO DO COMÉRCIO AGROPECUÁRIO DO PARÁ 0 ACAP</t>
  </si>
  <si>
    <t>CCM 0 CONSTRUTORA CENTRO MINAS LTDA</t>
  </si>
  <si>
    <t>COOPERATIVA AGROINDUSTRIAL PARAGOMINENSE 0 COOPERNORTE</t>
  </si>
  <si>
    <t>ELDORADO DO XINGÚ S.A. 0 AGRÍCOLA, PASTORIL E INDUSTRIAL</t>
  </si>
  <si>
    <t>EXPORTAL 0 EXPORTAÇÃO E IMPORTAÇÃO TABIRA</t>
  </si>
  <si>
    <t>IMDEX INDÚSTRIA COMÉRCIO E EXPORTAÇÃO LTDA 0 ME</t>
  </si>
  <si>
    <t>MADEIREIRA GUAJARÁ0PARÁ LTDA</t>
  </si>
  <si>
    <t>SOUSA INDÚSTRIA E COMÉRCIO DE MADEIRAS LTDA 0 ME</t>
  </si>
  <si>
    <t>AMDOR FRUTS 0 INDUSTRIA E COMERCIO LTDA ME</t>
  </si>
  <si>
    <t>COMPANHIA DOCAS DO PARA 0 PORTO DA VILA  DO CONDE</t>
  </si>
  <si>
    <t>MADEARTE MADEIRAS E ARTEFATOS EIRELI 0 ME</t>
  </si>
  <si>
    <t>RC2 PARTICIPAÇOES LTDA0 FAZENDA BOM JESUS</t>
  </si>
  <si>
    <t>RODRIGUES E SOBRINHO LTDA 0 EPP</t>
  </si>
  <si>
    <t>FERNANDES E CEZAR LAVANDERIA LTDA 0 ME</t>
  </si>
  <si>
    <t>LUMBERBRAS LTDA 0 EPP</t>
  </si>
  <si>
    <t>CICOMAL COLATINA IND E COMÉRCIO DE MADEIRAS LTDA0EPP</t>
  </si>
  <si>
    <t>SANTA IZABEL ALIMENTOS LTDA 0 FRANGO AMERICANO</t>
  </si>
  <si>
    <t>SISTEMAS INTERNACIONAL DE ENERGIA 0 SOENERGY</t>
  </si>
  <si>
    <t>FERMAR0INDÚSTRIA DE FERRO LIGAS MARABÁ LTDA</t>
  </si>
  <si>
    <t>AÇAÍ DA AMAZÔNIA EXPORTADORA DE BEBIDAS LTDA 0 EPP</t>
  </si>
  <si>
    <t>CINDEX 0 COMERCIO INDUSTRIA E EXPORTAÇÃO DE MADEIRA  DE MADEIRA UNIPESSOAL LTDA</t>
  </si>
  <si>
    <t>TRIGO E CIA PANIFICADORA E CONFEITARIA LTDA  ME</t>
  </si>
  <si>
    <t>MATEUS SUPERMERCADO S.A  HIPER MATEUS</t>
  </si>
  <si>
    <t>SERGIO FERNANDES OLIVEIRA  FAZENDA INOCENCIA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</si>
</sst>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R$-416]#,##0.00;\-[$R$-416]#,##0.00"/>
  </numFmts>
  <fonts count="55" x14ac:knownFonts="1">
    <font>
      <sz val="11"/>
      <color indexed="8"/>
      <name val="Calibri"/>
      <family val="2"/>
      <scheme val="minor"/>
    </font>
    <font>
      <sz val="11"/>
      <color theme="1"/>
      <name val="Calibri"/>
      <family val="2"/>
      <scheme val="minor"/>
    </font>
    <font>
      <b/>
      <sz val="12"/>
      <color indexed="8"/>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9"/>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8"/>
      <color rgb="FF000000"/>
      <name val="Arial"/>
    </font>
    <font>
      <sz val="10"/>
      <color rgb="FF000000"/>
      <name val="Arial"/>
    </font>
    <font>
      <sz val="10"/>
      <color rgb="FF000000"/>
      <name val="Arial"/>
    </font>
    <font>
      <sz val="10"/>
      <color rgb="FF000000"/>
      <name val="Arial"/>
      <family val="2"/>
    </font>
    <font>
      <sz val="10"/>
      <color rgb="FFFF0000"/>
      <name val="Arial"/>
      <family val="2"/>
    </font>
    <font>
      <b/>
      <sz val="11"/>
      <color theme="1"/>
      <name val="Calibri"/>
      <family val="2"/>
      <scheme val="minor"/>
    </font>
    <font>
      <sz val="10"/>
      <color theme="1"/>
      <name val="Arial"/>
    </font>
    <font>
      <sz val="8"/>
      <name val="Calibri"/>
      <family val="2"/>
      <scheme val="minor"/>
    </font>
  </fonts>
  <fills count="4">
    <fill>
      <patternFill patternType="none"/>
    </fill>
    <fill>
      <patternFill patternType="gray125"/>
    </fill>
    <fill>
      <patternFill patternType="solid">
        <fgColor rgb="FFF87E7D"/>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2" fillId="0" borderId="0" xfId="0" applyFont="1"/>
    <xf numFmtId="0" fontId="3" fillId="0" borderId="0" xfId="0" applyFont="1" applyAlignment="1">
      <alignment horizontal="center"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center" wrapText="1"/>
    </xf>
    <xf numFmtId="0" fontId="7" fillId="0" borderId="0" xfId="0" applyFont="1" applyAlignment="1">
      <alignment vertical="top"/>
    </xf>
    <xf numFmtId="165" fontId="8" fillId="0" borderId="0" xfId="0" applyNumberFormat="1" applyFont="1" applyAlignment="1">
      <alignment vertical="top"/>
    </xf>
    <xf numFmtId="0" fontId="10" fillId="0" borderId="0" xfId="0" applyFont="1" applyAlignment="1">
      <alignment horizontal="center" vertical="center" wrapText="1"/>
    </xf>
    <xf numFmtId="0" fontId="11" fillId="0" borderId="0" xfId="0" applyFont="1" applyAlignment="1">
      <alignment horizontal="center" vertical="top"/>
    </xf>
    <xf numFmtId="0" fontId="12" fillId="0" borderId="0" xfId="0" applyFont="1" applyAlignment="1">
      <alignment horizontal="center" vertical="center" wrapText="1"/>
    </xf>
    <xf numFmtId="165" fontId="13" fillId="0" borderId="0" xfId="0" applyNumberFormat="1" applyFont="1" applyAlignment="1">
      <alignment horizontal="center" vertical="center"/>
    </xf>
    <xf numFmtId="0" fontId="14" fillId="0" borderId="0" xfId="0" applyFont="1" applyAlignment="1">
      <alignment horizontal="center" vertical="top" wrapText="1"/>
    </xf>
    <xf numFmtId="0" fontId="15" fillId="0" borderId="0" xfId="0" applyFont="1" applyAlignment="1">
      <alignment horizontal="center" vertical="center"/>
    </xf>
    <xf numFmtId="0" fontId="16" fillId="0" borderId="0" xfId="0" applyFont="1" applyAlignment="1">
      <alignment vertical="top"/>
    </xf>
    <xf numFmtId="165" fontId="17" fillId="0" borderId="0" xfId="0" applyNumberFormat="1" applyFont="1" applyAlignment="1">
      <alignment horizontal="center" vertical="center"/>
    </xf>
    <xf numFmtId="0" fontId="18" fillId="0" borderId="0" xfId="0" applyFont="1" applyAlignment="1">
      <alignment horizontal="left"/>
    </xf>
    <xf numFmtId="0" fontId="19" fillId="0" borderId="0" xfId="0" applyFont="1" applyAlignment="1">
      <alignment horizontal="left"/>
    </xf>
    <xf numFmtId="0" fontId="20" fillId="0" borderId="0" xfId="0" applyFont="1" applyAlignment="1">
      <alignment horizontal="center" vertical="center"/>
    </xf>
    <xf numFmtId="165" fontId="21" fillId="0" borderId="0" xfId="0" applyNumberFormat="1" applyFont="1" applyAlignment="1">
      <alignment horizontal="center" vertical="top"/>
    </xf>
    <xf numFmtId="0" fontId="22"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xf>
    <xf numFmtId="0" fontId="25" fillId="0" borderId="0" xfId="0" applyFont="1" applyAlignment="1">
      <alignment horizontal="center" vertical="top"/>
    </xf>
    <xf numFmtId="0" fontId="26" fillId="0" borderId="0" xfId="0" applyFont="1" applyAlignment="1">
      <alignment horizontal="center"/>
    </xf>
    <xf numFmtId="165" fontId="27" fillId="0" borderId="0" xfId="0" applyNumberFormat="1" applyFont="1" applyAlignment="1">
      <alignment horizontal="center" vertical="center" wrapText="1"/>
    </xf>
    <xf numFmtId="165" fontId="28" fillId="0" borderId="0" xfId="0" applyNumberFormat="1" applyFont="1" applyAlignment="1">
      <alignment horizontal="center" vertical="center"/>
    </xf>
    <xf numFmtId="0" fontId="29" fillId="0" borderId="0" xfId="0" applyFont="1" applyAlignment="1">
      <alignment horizontal="center" vertical="center"/>
    </xf>
    <xf numFmtId="165" fontId="30" fillId="0" borderId="0" xfId="0" applyNumberFormat="1" applyFont="1" applyAlignment="1">
      <alignment horizontal="center" vertical="top"/>
    </xf>
    <xf numFmtId="0" fontId="31" fillId="0" borderId="0" xfId="0" applyFont="1" applyAlignment="1">
      <alignment horizontal="center" vertical="top"/>
    </xf>
    <xf numFmtId="0" fontId="32" fillId="0" borderId="0" xfId="0" applyFont="1" applyAlignment="1">
      <alignment horizontal="center" vertical="top"/>
    </xf>
    <xf numFmtId="0" fontId="34" fillId="0" borderId="0" xfId="0" applyFont="1" applyAlignment="1">
      <alignment horizontal="left" wrapText="1"/>
    </xf>
    <xf numFmtId="165" fontId="36" fillId="0" borderId="0" xfId="0" applyNumberFormat="1" applyFont="1" applyAlignment="1">
      <alignment vertical="top"/>
    </xf>
    <xf numFmtId="0" fontId="37" fillId="0" borderId="0" xfId="0" applyFont="1" applyAlignment="1">
      <alignment vertical="top"/>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164" fontId="41" fillId="0" borderId="0" xfId="0" applyNumberFormat="1" applyFont="1" applyAlignment="1">
      <alignment horizontal="center" vertical="top" wrapText="1"/>
    </xf>
    <xf numFmtId="164" fontId="42" fillId="0" borderId="0" xfId="0" applyNumberFormat="1" applyFont="1" applyAlignment="1">
      <alignment horizontal="center" vertical="top" wrapText="1"/>
    </xf>
    <xf numFmtId="0" fontId="43" fillId="2" borderId="0" xfId="0" applyFont="1" applyFill="1" applyAlignment="1">
      <alignment horizontal="left" vertical="center" wrapText="1"/>
    </xf>
    <xf numFmtId="0" fontId="44" fillId="2" borderId="0" xfId="0" applyFont="1" applyFill="1" applyAlignment="1">
      <alignment horizontal="left" vertical="center" wrapText="1"/>
    </xf>
    <xf numFmtId="0" fontId="45" fillId="2" borderId="0" xfId="0" applyFont="1" applyFill="1" applyAlignment="1">
      <alignment vertical="top"/>
    </xf>
    <xf numFmtId="0" fontId="46" fillId="2" borderId="0" xfId="0" applyFont="1" applyFill="1" applyAlignment="1">
      <alignment horizontal="center" vertical="center"/>
    </xf>
    <xf numFmtId="0" fontId="47" fillId="0" borderId="0" xfId="0" applyFont="1" applyAlignment="1">
      <alignment horizontal="center" vertical="center" wrapText="1"/>
    </xf>
    <xf numFmtId="0" fontId="48" fillId="0" borderId="0" xfId="0" applyFont="1" applyAlignment="1">
      <alignment horizontal="center" vertical="center"/>
    </xf>
    <xf numFmtId="0" fontId="49" fillId="0" borderId="0" xfId="0" applyFont="1" applyAlignment="1">
      <alignment horizontal="center" vertical="center" wrapText="1"/>
    </xf>
    <xf numFmtId="0" fontId="50"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xf>
    <xf numFmtId="0" fontId="51" fillId="3" borderId="0" xfId="0" applyFont="1" applyFill="1" applyAlignment="1">
      <alignment horizontal="center"/>
    </xf>
    <xf numFmtId="0" fontId="50" fillId="0" borderId="0" xfId="0" applyFont="1" applyAlignment="1">
      <alignment horizontal="center"/>
    </xf>
    <xf numFmtId="0" fontId="50" fillId="3" borderId="0" xfId="0" applyFont="1" applyFill="1" applyAlignment="1">
      <alignment horizontal="center" vertical="center" wrapText="1"/>
    </xf>
    <xf numFmtId="0" fontId="50" fillId="2" borderId="0" xfId="0" applyFont="1" applyFill="1" applyAlignment="1">
      <alignment horizontal="center" vertical="center" wrapText="1"/>
    </xf>
    <xf numFmtId="0" fontId="52" fillId="0" borderId="1" xfId="0" applyFont="1" applyBorder="1" applyAlignment="1">
      <alignment horizontal="center" vertical="top"/>
    </xf>
    <xf numFmtId="14" fontId="52" fillId="0" borderId="1" xfId="0" applyNumberFormat="1" applyFont="1" applyBorder="1" applyAlignment="1">
      <alignment horizontal="center" vertical="top"/>
    </xf>
    <xf numFmtId="164" fontId="53" fillId="0" borderId="0" xfId="0" applyNumberFormat="1" applyFont="1" applyAlignment="1">
      <alignment horizontal="center" vertical="center" wrapText="1"/>
    </xf>
    <xf numFmtId="164" fontId="53" fillId="0" borderId="0" xfId="0" applyNumberFormat="1" applyFont="1" applyAlignment="1">
      <alignment horizontal="center" vertical="center"/>
    </xf>
    <xf numFmtId="164" fontId="53" fillId="2" borderId="0" xfId="0" applyNumberFormat="1" applyFont="1" applyFill="1" applyAlignment="1">
      <alignment horizontal="center" vertical="center" wrapText="1"/>
    </xf>
    <xf numFmtId="0" fontId="53" fillId="0" borderId="0" xfId="0" applyFont="1" applyAlignment="1">
      <alignment horizontal="center" vertical="center" wrapText="1"/>
    </xf>
    <xf numFmtId="0" fontId="1" fillId="0" borderId="0" xfId="0" applyFont="1"/>
    <xf numFmtId="2" fontId="52" fillId="0" borderId="1" xfId="0" applyNumberFormat="1" applyFont="1" applyBorder="1" applyAlignment="1">
      <alignment horizontal="left" vertical="center"/>
    </xf>
    <xf numFmtId="2" fontId="9" fillId="0" borderId="0" xfId="0" applyNumberFormat="1" applyFont="1" applyAlignment="1">
      <alignment horizontal="left" vertical="center"/>
    </xf>
    <xf numFmtId="2" fontId="35" fillId="0" borderId="0" xfId="0" applyNumberFormat="1" applyFont="1" applyAlignment="1">
      <alignment horizontal="left" vertical="center" wrapText="1"/>
    </xf>
    <xf numFmtId="2" fontId="33" fillId="0" borderId="0" xfId="0" applyNumberFormat="1" applyFont="1" applyAlignment="1">
      <alignment horizontal="left" vertical="center"/>
    </xf>
    <xf numFmtId="2" fontId="0" fillId="0" borderId="0" xfId="0" applyNumberFormat="1" applyAlignment="1">
      <alignment horizontal="left" vertical="center"/>
    </xf>
    <xf numFmtId="0" fontId="50"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973"/>
  <sheetViews>
    <sheetView tabSelected="1" topLeftCell="E1" workbookViewId="0">
      <selection activeCell="E19" sqref="E19"/>
    </sheetView>
  </sheetViews>
  <sheetFormatPr defaultRowHeight="15" x14ac:dyDescent="0.25"/>
  <cols>
    <col min="1" max="1" width="10.28515625" customWidth="1"/>
    <col min="2" max="2" width="22.28515625" customWidth="1"/>
    <col min="3" max="3" width="29.7109375" customWidth="1"/>
    <col min="4" max="4" width="15.5703125" style="59" customWidth="1"/>
    <col min="5" max="5" width="82.140625" customWidth="1"/>
    <col min="6" max="6" width="14.42578125" customWidth="1"/>
    <col min="7" max="7" width="14.85546875" customWidth="1"/>
    <col min="8" max="8" width="16.5703125" customWidth="1"/>
    <col min="9" max="9" width="21.42578125" style="64" customWidth="1"/>
    <col min="10" max="10" width="23.42578125" customWidth="1"/>
    <col min="11" max="11" width="48.7109375" customWidth="1"/>
    <col min="12" max="12" width="23.42578125" customWidth="1"/>
    <col min="13" max="13" width="21.28515625" customWidth="1"/>
    <col min="14" max="14" width="30.5703125" customWidth="1"/>
    <col min="15" max="15" width="23.28515625" customWidth="1"/>
    <col min="16" max="16" width="27.5703125" customWidth="1"/>
    <col min="17" max="17" width="15.85546875" customWidth="1"/>
    <col min="18" max="18" width="18.85546875" customWidth="1"/>
  </cols>
  <sheetData>
    <row r="1" spans="1:18" ht="15.75" x14ac:dyDescent="0.25">
      <c r="A1" s="53" t="s">
        <v>1715</v>
      </c>
      <c r="B1" s="53" t="s">
        <v>1716</v>
      </c>
      <c r="C1" s="53" t="s">
        <v>1717</v>
      </c>
      <c r="D1" s="54" t="s">
        <v>1718</v>
      </c>
      <c r="E1" s="53" t="s">
        <v>1719</v>
      </c>
      <c r="F1" s="53" t="s">
        <v>1720</v>
      </c>
      <c r="G1" s="53" t="s">
        <v>1721</v>
      </c>
      <c r="H1" s="53" t="s">
        <v>1722</v>
      </c>
      <c r="I1" s="60" t="s">
        <v>1723</v>
      </c>
      <c r="J1" s="53" t="s">
        <v>1724</v>
      </c>
      <c r="K1" s="53" t="s">
        <v>1725</v>
      </c>
      <c r="L1" s="53" t="s">
        <v>1726</v>
      </c>
      <c r="M1" s="1" t="s">
        <v>1732</v>
      </c>
      <c r="N1" s="53" t="s">
        <v>1727</v>
      </c>
      <c r="O1" s="53" t="s">
        <v>1728</v>
      </c>
      <c r="P1" s="53" t="s">
        <v>1729</v>
      </c>
      <c r="Q1" s="53" t="s">
        <v>1730</v>
      </c>
      <c r="R1" s="53" t="s">
        <v>1731</v>
      </c>
    </row>
    <row r="2" spans="1:18" x14ac:dyDescent="0.25">
      <c r="A2" s="2">
        <v>1</v>
      </c>
      <c r="B2" s="3" t="s">
        <v>0</v>
      </c>
      <c r="C2" s="4" t="s">
        <v>1</v>
      </c>
      <c r="D2" s="55">
        <v>45758</v>
      </c>
      <c r="E2" s="5" t="s">
        <v>2</v>
      </c>
      <c r="F2" s="6"/>
      <c r="G2" s="7">
        <v>4.8013000000000003</v>
      </c>
      <c r="H2" s="2">
        <v>7501</v>
      </c>
      <c r="I2" s="61">
        <f>IF(H2&lt;&gt;0, G2*H2, "")</f>
        <v>36014.551299999999</v>
      </c>
      <c r="J2" s="8"/>
      <c r="K2" s="9"/>
      <c r="L2" s="10"/>
      <c r="M2" s="11">
        <v>0</v>
      </c>
      <c r="N2" s="6"/>
      <c r="O2" s="12"/>
      <c r="P2" s="6">
        <v>4</v>
      </c>
      <c r="Q2" s="6" t="s">
        <v>3</v>
      </c>
      <c r="R2" s="53" t="s">
        <v>1735</v>
      </c>
    </row>
    <row r="3" spans="1:18" x14ac:dyDescent="0.25">
      <c r="A3" s="2">
        <v>2</v>
      </c>
      <c r="B3" s="3" t="s">
        <v>4</v>
      </c>
      <c r="C3" s="4" t="s">
        <v>1</v>
      </c>
      <c r="D3" s="55">
        <v>45758</v>
      </c>
      <c r="E3" s="5" t="s">
        <v>5</v>
      </c>
      <c r="F3" s="6"/>
      <c r="G3" s="7">
        <v>4.8013000000000003</v>
      </c>
      <c r="H3" s="2">
        <v>8000</v>
      </c>
      <c r="I3" s="61">
        <f t="shared" ref="I3:I66" si="0">IF(H3&lt;&gt;0, G3*H3, "")</f>
        <v>38410.400000000001</v>
      </c>
      <c r="J3" s="8"/>
      <c r="K3" s="9"/>
      <c r="L3" s="10"/>
      <c r="M3" s="11">
        <v>0</v>
      </c>
      <c r="N3" s="6"/>
      <c r="O3" s="12"/>
      <c r="P3" s="6">
        <v>4</v>
      </c>
      <c r="Q3" s="6" t="s">
        <v>3</v>
      </c>
      <c r="R3" s="53" t="s">
        <v>1735</v>
      </c>
    </row>
    <row r="4" spans="1:18" x14ac:dyDescent="0.25">
      <c r="A4" s="2">
        <v>3</v>
      </c>
      <c r="B4" s="3" t="s">
        <v>6</v>
      </c>
      <c r="C4" s="4" t="s">
        <v>1</v>
      </c>
      <c r="D4" s="55">
        <v>45758</v>
      </c>
      <c r="E4" s="5" t="s">
        <v>7</v>
      </c>
      <c r="F4" s="6"/>
      <c r="G4" s="7">
        <v>4.8013000000000003</v>
      </c>
      <c r="H4" s="2">
        <v>10000</v>
      </c>
      <c r="I4" s="61">
        <f t="shared" si="0"/>
        <v>48013</v>
      </c>
      <c r="J4" s="8"/>
      <c r="K4" s="9"/>
      <c r="L4" s="10"/>
      <c r="M4" s="11">
        <v>0</v>
      </c>
      <c r="N4" s="6"/>
      <c r="O4" s="12"/>
      <c r="P4" s="6">
        <v>4</v>
      </c>
      <c r="Q4" s="6" t="s">
        <v>3</v>
      </c>
      <c r="R4" s="53" t="s">
        <v>1735</v>
      </c>
    </row>
    <row r="5" spans="1:18" x14ac:dyDescent="0.25">
      <c r="A5" s="2">
        <v>4</v>
      </c>
      <c r="B5" s="3" t="s">
        <v>8</v>
      </c>
      <c r="C5" s="4" t="s">
        <v>1</v>
      </c>
      <c r="D5" s="55">
        <v>45758</v>
      </c>
      <c r="E5" s="5" t="s">
        <v>9</v>
      </c>
      <c r="F5" s="6"/>
      <c r="G5" s="7">
        <v>4.8013000000000003</v>
      </c>
      <c r="H5" s="2">
        <v>7500</v>
      </c>
      <c r="I5" s="61">
        <f t="shared" si="0"/>
        <v>36009.75</v>
      </c>
      <c r="J5" s="8"/>
      <c r="K5" s="9"/>
      <c r="L5" s="10"/>
      <c r="M5" s="11">
        <v>0</v>
      </c>
      <c r="N5" s="6"/>
      <c r="O5" s="12"/>
      <c r="P5" s="6">
        <v>4</v>
      </c>
      <c r="Q5" s="6" t="s">
        <v>3</v>
      </c>
      <c r="R5" s="53" t="s">
        <v>1735</v>
      </c>
    </row>
    <row r="6" spans="1:18" x14ac:dyDescent="0.25">
      <c r="A6" s="13">
        <v>5</v>
      </c>
      <c r="B6" s="3" t="s">
        <v>10</v>
      </c>
      <c r="C6" s="4" t="s">
        <v>1</v>
      </c>
      <c r="D6" s="55">
        <v>45758</v>
      </c>
      <c r="E6" s="5" t="s">
        <v>11</v>
      </c>
      <c r="F6" s="14"/>
      <c r="G6" s="7">
        <v>4.8013000000000003</v>
      </c>
      <c r="H6" s="13">
        <v>7500</v>
      </c>
      <c r="I6" s="61">
        <f t="shared" si="0"/>
        <v>36009.75</v>
      </c>
      <c r="J6" s="8"/>
      <c r="K6" s="9"/>
      <c r="L6" s="10"/>
      <c r="M6" s="15">
        <v>0</v>
      </c>
      <c r="N6" s="6"/>
      <c r="O6" s="12"/>
      <c r="P6" s="6">
        <v>4</v>
      </c>
      <c r="Q6" s="6" t="s">
        <v>3</v>
      </c>
      <c r="R6" s="53" t="s">
        <v>1735</v>
      </c>
    </row>
    <row r="7" spans="1:18" x14ac:dyDescent="0.25">
      <c r="A7" s="2">
        <v>6</v>
      </c>
      <c r="B7" s="3" t="s">
        <v>12</v>
      </c>
      <c r="C7" s="4" t="s">
        <v>1</v>
      </c>
      <c r="D7" s="55">
        <v>45758</v>
      </c>
      <c r="E7" s="5" t="s">
        <v>13</v>
      </c>
      <c r="F7" s="6"/>
      <c r="G7" s="7">
        <v>4.8013000000000003</v>
      </c>
      <c r="H7" s="2">
        <v>50000</v>
      </c>
      <c r="I7" s="61">
        <f t="shared" si="0"/>
        <v>240065.00000000003</v>
      </c>
      <c r="J7" s="8"/>
      <c r="K7" s="9"/>
      <c r="L7" s="10"/>
      <c r="M7" s="11">
        <v>0</v>
      </c>
      <c r="N7" s="6"/>
      <c r="O7" s="12"/>
      <c r="P7" s="6">
        <v>4</v>
      </c>
      <c r="Q7" s="6" t="s">
        <v>3</v>
      </c>
      <c r="R7" s="53" t="s">
        <v>1735</v>
      </c>
    </row>
    <row r="8" spans="1:18" x14ac:dyDescent="0.25">
      <c r="A8" s="2">
        <v>7</v>
      </c>
      <c r="B8" s="3" t="s">
        <v>14</v>
      </c>
      <c r="C8" s="4" t="s">
        <v>1</v>
      </c>
      <c r="D8" s="55">
        <v>45758</v>
      </c>
      <c r="E8" s="5" t="s">
        <v>15</v>
      </c>
      <c r="F8" s="6"/>
      <c r="G8" s="7">
        <v>4.8013000000000003</v>
      </c>
      <c r="H8" s="2">
        <v>10000</v>
      </c>
      <c r="I8" s="61">
        <f t="shared" si="0"/>
        <v>48013</v>
      </c>
      <c r="J8" s="8"/>
      <c r="K8" s="9"/>
      <c r="L8" s="10"/>
      <c r="M8" s="11">
        <v>0</v>
      </c>
      <c r="N8" s="6"/>
      <c r="O8" s="12"/>
      <c r="P8" s="6">
        <v>4</v>
      </c>
      <c r="Q8" s="6" t="s">
        <v>3</v>
      </c>
      <c r="R8" s="53" t="s">
        <v>1735</v>
      </c>
    </row>
    <row r="9" spans="1:18" x14ac:dyDescent="0.25">
      <c r="A9" s="2">
        <v>8</v>
      </c>
      <c r="B9" s="3" t="s">
        <v>16</v>
      </c>
      <c r="C9" s="4" t="s">
        <v>1</v>
      </c>
      <c r="D9" s="55">
        <v>45758</v>
      </c>
      <c r="E9" s="5" t="s">
        <v>17</v>
      </c>
      <c r="F9" s="6"/>
      <c r="G9" s="7">
        <v>4.8013000000000003</v>
      </c>
      <c r="H9" s="2">
        <v>0</v>
      </c>
      <c r="I9" s="61" t="str">
        <f t="shared" si="0"/>
        <v/>
      </c>
      <c r="J9" s="8"/>
      <c r="K9" s="9"/>
      <c r="L9" s="10"/>
      <c r="M9" s="11">
        <v>550500</v>
      </c>
      <c r="N9" s="6"/>
      <c r="O9" s="12"/>
      <c r="P9" s="6">
        <v>4</v>
      </c>
      <c r="Q9" s="6" t="s">
        <v>3</v>
      </c>
      <c r="R9" s="53" t="s">
        <v>1735</v>
      </c>
    </row>
    <row r="10" spans="1:18" x14ac:dyDescent="0.25">
      <c r="A10" s="2">
        <v>9</v>
      </c>
      <c r="B10" s="3" t="s">
        <v>18</v>
      </c>
      <c r="C10" s="4" t="s">
        <v>1</v>
      </c>
      <c r="D10" s="55">
        <v>45758</v>
      </c>
      <c r="E10" s="5" t="s">
        <v>19</v>
      </c>
      <c r="F10" s="6"/>
      <c r="G10" s="7">
        <v>4.8013000000000003</v>
      </c>
      <c r="H10" s="2">
        <v>8000</v>
      </c>
      <c r="I10" s="61">
        <f t="shared" si="0"/>
        <v>38410.400000000001</v>
      </c>
      <c r="J10" s="8"/>
      <c r="K10" s="9"/>
      <c r="L10" s="10"/>
      <c r="M10" s="11">
        <v>0</v>
      </c>
      <c r="N10" s="6"/>
      <c r="O10" s="12"/>
      <c r="P10" s="6">
        <v>4</v>
      </c>
      <c r="Q10" s="6" t="s">
        <v>3</v>
      </c>
      <c r="R10" s="53" t="s">
        <v>1735</v>
      </c>
    </row>
    <row r="11" spans="1:18" x14ac:dyDescent="0.25">
      <c r="A11" s="2">
        <v>10</v>
      </c>
      <c r="B11" s="3" t="s">
        <v>20</v>
      </c>
      <c r="C11" s="4" t="s">
        <v>1</v>
      </c>
      <c r="D11" s="55">
        <v>45758</v>
      </c>
      <c r="E11" s="5" t="s">
        <v>21</v>
      </c>
      <c r="F11" s="6"/>
      <c r="G11" s="7">
        <v>4.8013000000000003</v>
      </c>
      <c r="H11" s="2">
        <v>7501</v>
      </c>
      <c r="I11" s="61">
        <f t="shared" si="0"/>
        <v>36014.551299999999</v>
      </c>
      <c r="J11" s="8"/>
      <c r="K11" s="9"/>
      <c r="L11" s="10"/>
      <c r="M11" s="11">
        <v>0</v>
      </c>
      <c r="N11" s="6"/>
      <c r="O11" s="12"/>
      <c r="P11" s="6">
        <v>4</v>
      </c>
      <c r="Q11" s="6" t="s">
        <v>3</v>
      </c>
      <c r="R11" s="53" t="s">
        <v>1735</v>
      </c>
    </row>
    <row r="12" spans="1:18" x14ac:dyDescent="0.25">
      <c r="A12" s="2">
        <v>11</v>
      </c>
      <c r="B12" s="3" t="s">
        <v>22</v>
      </c>
      <c r="C12" s="4" t="s">
        <v>1</v>
      </c>
      <c r="D12" s="55">
        <v>45758</v>
      </c>
      <c r="E12" s="65" t="s">
        <v>1817</v>
      </c>
      <c r="F12" s="6"/>
      <c r="G12" s="7">
        <v>4.8013000000000003</v>
      </c>
      <c r="H12" s="2">
        <v>10000</v>
      </c>
      <c r="I12" s="61">
        <f t="shared" si="0"/>
        <v>48013</v>
      </c>
      <c r="J12" s="8"/>
      <c r="K12" s="9"/>
      <c r="L12" s="10"/>
      <c r="M12" s="11">
        <v>0</v>
      </c>
      <c r="N12" s="6"/>
      <c r="O12" s="12"/>
      <c r="P12" s="6">
        <v>4</v>
      </c>
      <c r="Q12" s="6" t="s">
        <v>3</v>
      </c>
      <c r="R12" s="53" t="s">
        <v>1735</v>
      </c>
    </row>
    <row r="13" spans="1:18" x14ac:dyDescent="0.25">
      <c r="A13" s="2">
        <v>12</v>
      </c>
      <c r="B13" s="3" t="s">
        <v>23</v>
      </c>
      <c r="C13" s="4" t="s">
        <v>1</v>
      </c>
      <c r="D13" s="55">
        <v>45758</v>
      </c>
      <c r="E13" s="65" t="s">
        <v>1818</v>
      </c>
      <c r="F13" s="6"/>
      <c r="G13" s="7">
        <v>4.8013000000000003</v>
      </c>
      <c r="H13" s="2">
        <v>7501</v>
      </c>
      <c r="I13" s="61">
        <f t="shared" si="0"/>
        <v>36014.551299999999</v>
      </c>
      <c r="J13" s="8"/>
      <c r="K13" s="9"/>
      <c r="L13" s="10"/>
      <c r="M13" s="11">
        <v>0</v>
      </c>
      <c r="N13" s="6"/>
      <c r="O13" s="12"/>
      <c r="P13" s="6">
        <v>4</v>
      </c>
      <c r="Q13" s="6" t="s">
        <v>3</v>
      </c>
      <c r="R13" s="53" t="s">
        <v>1735</v>
      </c>
    </row>
    <row r="14" spans="1:18" x14ac:dyDescent="0.25">
      <c r="A14" s="13">
        <v>13</v>
      </c>
      <c r="B14" s="3" t="s">
        <v>24</v>
      </c>
      <c r="C14" s="4" t="s">
        <v>1</v>
      </c>
      <c r="D14" s="55">
        <v>45758</v>
      </c>
      <c r="E14" s="5" t="s">
        <v>25</v>
      </c>
      <c r="F14" s="14"/>
      <c r="G14" s="7">
        <v>4.8013000000000003</v>
      </c>
      <c r="H14" s="13">
        <v>1500</v>
      </c>
      <c r="I14" s="61">
        <f t="shared" si="0"/>
        <v>7201.9500000000007</v>
      </c>
      <c r="J14" s="8"/>
      <c r="K14" s="9"/>
      <c r="L14" s="10"/>
      <c r="M14" s="15">
        <v>0</v>
      </c>
      <c r="N14" s="6"/>
      <c r="O14" s="12"/>
      <c r="P14" s="6">
        <v>4</v>
      </c>
      <c r="Q14" s="6" t="s">
        <v>3</v>
      </c>
      <c r="R14" s="53" t="s">
        <v>1733</v>
      </c>
    </row>
    <row r="15" spans="1:18" x14ac:dyDescent="0.25">
      <c r="A15" s="13">
        <v>14</v>
      </c>
      <c r="B15" s="3" t="s">
        <v>26</v>
      </c>
      <c r="C15" s="4" t="s">
        <v>1</v>
      </c>
      <c r="D15" s="55">
        <v>45758</v>
      </c>
      <c r="E15" s="5" t="s">
        <v>27</v>
      </c>
      <c r="F15" s="14"/>
      <c r="G15" s="7">
        <v>4.8013000000000003</v>
      </c>
      <c r="H15" s="13">
        <v>5500</v>
      </c>
      <c r="I15" s="61">
        <f t="shared" si="0"/>
        <v>26407.15</v>
      </c>
      <c r="J15" s="8"/>
      <c r="K15" s="9"/>
      <c r="L15" s="10"/>
      <c r="M15" s="15">
        <v>0</v>
      </c>
      <c r="N15" s="6"/>
      <c r="O15" s="12"/>
      <c r="P15" s="6">
        <v>4</v>
      </c>
      <c r="Q15" s="6" t="s">
        <v>3</v>
      </c>
      <c r="R15" s="53" t="s">
        <v>1733</v>
      </c>
    </row>
    <row r="16" spans="1:18" x14ac:dyDescent="0.25">
      <c r="A16" s="2">
        <v>15</v>
      </c>
      <c r="B16" s="3" t="s">
        <v>28</v>
      </c>
      <c r="C16" s="4" t="s">
        <v>1</v>
      </c>
      <c r="D16" s="55">
        <v>45758</v>
      </c>
      <c r="E16" s="65" t="s">
        <v>1819</v>
      </c>
      <c r="F16" s="6"/>
      <c r="G16" s="7">
        <v>4.8013000000000003</v>
      </c>
      <c r="H16" s="2">
        <v>7500</v>
      </c>
      <c r="I16" s="61">
        <f t="shared" si="0"/>
        <v>36009.75</v>
      </c>
      <c r="J16" s="8"/>
      <c r="K16" s="9"/>
      <c r="L16" s="10"/>
      <c r="M16" s="11">
        <v>0</v>
      </c>
      <c r="N16" s="6"/>
      <c r="O16" s="12"/>
      <c r="P16" s="6">
        <v>4</v>
      </c>
      <c r="Q16" s="6" t="s">
        <v>3</v>
      </c>
      <c r="R16" s="53" t="s">
        <v>1733</v>
      </c>
    </row>
    <row r="17" spans="1:18" x14ac:dyDescent="0.25">
      <c r="A17" s="13">
        <v>16</v>
      </c>
      <c r="B17" s="3" t="s">
        <v>29</v>
      </c>
      <c r="C17" s="4" t="s">
        <v>1</v>
      </c>
      <c r="D17" s="55">
        <v>45758</v>
      </c>
      <c r="E17" s="5" t="s">
        <v>30</v>
      </c>
      <c r="F17" s="14"/>
      <c r="G17" s="7">
        <v>4.8013000000000003</v>
      </c>
      <c r="H17" s="13">
        <v>10000</v>
      </c>
      <c r="I17" s="61">
        <f t="shared" si="0"/>
        <v>48013</v>
      </c>
      <c r="J17" s="8"/>
      <c r="K17" s="9"/>
      <c r="L17" s="10"/>
      <c r="M17" s="15">
        <v>0</v>
      </c>
      <c r="N17" s="6"/>
      <c r="O17" s="12"/>
      <c r="P17" s="6">
        <v>4</v>
      </c>
      <c r="Q17" s="6" t="s">
        <v>3</v>
      </c>
      <c r="R17" s="53" t="s">
        <v>1733</v>
      </c>
    </row>
    <row r="18" spans="1:18" x14ac:dyDescent="0.25">
      <c r="A18" s="2">
        <v>17</v>
      </c>
      <c r="B18" s="3" t="s">
        <v>31</v>
      </c>
      <c r="C18" s="4" t="s">
        <v>1</v>
      </c>
      <c r="D18" s="55">
        <v>45758</v>
      </c>
      <c r="E18" s="5" t="s">
        <v>32</v>
      </c>
      <c r="F18" s="6"/>
      <c r="G18" s="7">
        <v>4.8013000000000003</v>
      </c>
      <c r="H18" s="2">
        <v>7501</v>
      </c>
      <c r="I18" s="61">
        <f t="shared" si="0"/>
        <v>36014.551299999999</v>
      </c>
      <c r="J18" s="8"/>
      <c r="K18" s="9"/>
      <c r="L18" s="10"/>
      <c r="M18" s="11">
        <v>0</v>
      </c>
      <c r="N18" s="6"/>
      <c r="O18" s="12"/>
      <c r="P18" s="6">
        <v>4</v>
      </c>
      <c r="Q18" s="6" t="s">
        <v>3</v>
      </c>
      <c r="R18" s="53" t="s">
        <v>1733</v>
      </c>
    </row>
    <row r="19" spans="1:18" x14ac:dyDescent="0.25">
      <c r="A19" s="2">
        <v>18</v>
      </c>
      <c r="B19" s="3" t="s">
        <v>33</v>
      </c>
      <c r="C19" s="4" t="s">
        <v>1</v>
      </c>
      <c r="D19" s="55">
        <v>45758</v>
      </c>
      <c r="E19" s="5" t="s">
        <v>1737</v>
      </c>
      <c r="F19" s="6"/>
      <c r="G19" s="7">
        <v>4.8013000000000003</v>
      </c>
      <c r="H19" s="2">
        <v>7501</v>
      </c>
      <c r="I19" s="61">
        <f t="shared" si="0"/>
        <v>36014.551299999999</v>
      </c>
      <c r="J19" s="8"/>
      <c r="K19" s="9"/>
      <c r="L19" s="10"/>
      <c r="M19" s="11">
        <v>0</v>
      </c>
      <c r="N19" s="6"/>
      <c r="O19" s="12"/>
      <c r="P19" s="6">
        <v>4</v>
      </c>
      <c r="Q19" s="6" t="s">
        <v>3</v>
      </c>
      <c r="R19" s="53" t="s">
        <v>1733</v>
      </c>
    </row>
    <row r="20" spans="1:18" x14ac:dyDescent="0.25">
      <c r="A20" s="2">
        <v>19</v>
      </c>
      <c r="B20" s="3" t="s">
        <v>34</v>
      </c>
      <c r="C20" s="4" t="s">
        <v>1</v>
      </c>
      <c r="D20" s="55">
        <v>45758</v>
      </c>
      <c r="E20" s="5" t="s">
        <v>1737</v>
      </c>
      <c r="F20" s="6"/>
      <c r="G20" s="7">
        <v>4.8013000000000003</v>
      </c>
      <c r="H20" s="2">
        <v>1500</v>
      </c>
      <c r="I20" s="61">
        <f t="shared" si="0"/>
        <v>7201.9500000000007</v>
      </c>
      <c r="J20" s="8"/>
      <c r="K20" s="9"/>
      <c r="L20" s="10"/>
      <c r="M20" s="11">
        <v>0</v>
      </c>
      <c r="N20" s="6"/>
      <c r="O20" s="12"/>
      <c r="P20" s="6">
        <v>4</v>
      </c>
      <c r="Q20" s="6" t="s">
        <v>3</v>
      </c>
      <c r="R20" s="53" t="s">
        <v>1733</v>
      </c>
    </row>
    <row r="21" spans="1:18" x14ac:dyDescent="0.25">
      <c r="A21" s="2">
        <v>20</v>
      </c>
      <c r="B21" s="3" t="s">
        <v>35</v>
      </c>
      <c r="C21" s="4" t="s">
        <v>1</v>
      </c>
      <c r="D21" s="55">
        <v>45758</v>
      </c>
      <c r="E21" s="5" t="s">
        <v>1737</v>
      </c>
      <c r="F21" s="6"/>
      <c r="G21" s="7">
        <v>4.8013000000000003</v>
      </c>
      <c r="H21" s="2">
        <v>15000</v>
      </c>
      <c r="I21" s="61">
        <f t="shared" si="0"/>
        <v>72019.5</v>
      </c>
      <c r="J21" s="8"/>
      <c r="K21" s="9"/>
      <c r="L21" s="10"/>
      <c r="M21" s="11">
        <v>0</v>
      </c>
      <c r="N21" s="6"/>
      <c r="O21" s="12"/>
      <c r="P21" s="6">
        <v>4</v>
      </c>
      <c r="Q21" s="6" t="s">
        <v>3</v>
      </c>
      <c r="R21" s="53" t="s">
        <v>1733</v>
      </c>
    </row>
    <row r="22" spans="1:18" x14ac:dyDescent="0.25">
      <c r="A22" s="2">
        <v>21</v>
      </c>
      <c r="B22" s="3" t="s">
        <v>36</v>
      </c>
      <c r="C22" s="4" t="s">
        <v>1</v>
      </c>
      <c r="D22" s="55">
        <v>45758</v>
      </c>
      <c r="E22" s="5" t="s">
        <v>1737</v>
      </c>
      <c r="F22" s="6"/>
      <c r="G22" s="7">
        <v>4.8013000000000003</v>
      </c>
      <c r="H22" s="2">
        <v>8000</v>
      </c>
      <c r="I22" s="61">
        <f t="shared" si="0"/>
        <v>38410.400000000001</v>
      </c>
      <c r="J22" s="8"/>
      <c r="K22" s="9"/>
      <c r="L22" s="10"/>
      <c r="M22" s="11">
        <v>0</v>
      </c>
      <c r="N22" s="6"/>
      <c r="O22" s="12"/>
      <c r="P22" s="6">
        <v>4</v>
      </c>
      <c r="Q22" s="6" t="s">
        <v>3</v>
      </c>
      <c r="R22" s="53" t="s">
        <v>1733</v>
      </c>
    </row>
    <row r="23" spans="1:18" x14ac:dyDescent="0.25">
      <c r="A23" s="2">
        <v>22</v>
      </c>
      <c r="B23" s="16" t="s">
        <v>37</v>
      </c>
      <c r="C23" s="4" t="s">
        <v>1</v>
      </c>
      <c r="D23" s="55">
        <v>45758</v>
      </c>
      <c r="E23" s="17" t="s">
        <v>38</v>
      </c>
      <c r="F23" s="6"/>
      <c r="G23" s="7">
        <v>4.8013000000000003</v>
      </c>
      <c r="H23" s="2">
        <v>0</v>
      </c>
      <c r="I23" s="61" t="str">
        <f t="shared" si="0"/>
        <v/>
      </c>
      <c r="J23" s="8"/>
      <c r="K23" s="9"/>
      <c r="L23" s="10"/>
      <c r="M23" s="18">
        <v>0</v>
      </c>
      <c r="N23" s="6" t="s">
        <v>39</v>
      </c>
      <c r="O23" s="12"/>
      <c r="P23" s="6">
        <v>4</v>
      </c>
      <c r="Q23" s="6" t="s">
        <v>3</v>
      </c>
      <c r="R23" s="53" t="s">
        <v>1733</v>
      </c>
    </row>
    <row r="24" spans="1:18" x14ac:dyDescent="0.25">
      <c r="A24" s="2">
        <v>23</v>
      </c>
      <c r="B24" s="3" t="s">
        <v>40</v>
      </c>
      <c r="C24" s="4" t="s">
        <v>1</v>
      </c>
      <c r="D24" s="55">
        <v>45758</v>
      </c>
      <c r="E24" s="5" t="s">
        <v>41</v>
      </c>
      <c r="F24" s="6"/>
      <c r="G24" s="7">
        <v>4.8013000000000003</v>
      </c>
      <c r="H24" s="2">
        <v>181356</v>
      </c>
      <c r="I24" s="61">
        <f t="shared" si="0"/>
        <v>870744.56280000007</v>
      </c>
      <c r="J24" s="8"/>
      <c r="K24" s="9"/>
      <c r="L24" s="10"/>
      <c r="M24" s="11">
        <v>0</v>
      </c>
      <c r="N24" s="6"/>
      <c r="O24" s="12"/>
      <c r="P24" s="6">
        <v>4</v>
      </c>
      <c r="Q24" s="6" t="s">
        <v>3</v>
      </c>
      <c r="R24" s="53" t="s">
        <v>1733</v>
      </c>
    </row>
    <row r="25" spans="1:18" x14ac:dyDescent="0.25">
      <c r="A25" s="2">
        <v>24</v>
      </c>
      <c r="B25" s="3" t="s">
        <v>42</v>
      </c>
      <c r="C25" s="4" t="s">
        <v>1</v>
      </c>
      <c r="D25" s="55">
        <v>45758</v>
      </c>
      <c r="E25" s="5" t="s">
        <v>43</v>
      </c>
      <c r="F25" s="6"/>
      <c r="G25" s="7">
        <v>4.8013000000000003</v>
      </c>
      <c r="H25" s="2">
        <v>0</v>
      </c>
      <c r="I25" s="61" t="str">
        <f t="shared" si="0"/>
        <v/>
      </c>
      <c r="J25" s="8"/>
      <c r="K25" s="9"/>
      <c r="L25" s="10"/>
      <c r="M25" s="11">
        <v>165000</v>
      </c>
      <c r="N25" s="6"/>
      <c r="O25" s="12"/>
      <c r="P25" s="6">
        <v>4</v>
      </c>
      <c r="Q25" s="6" t="s">
        <v>3</v>
      </c>
      <c r="R25" s="53" t="s">
        <v>1733</v>
      </c>
    </row>
    <row r="26" spans="1:18" x14ac:dyDescent="0.25">
      <c r="A26" s="2">
        <v>25</v>
      </c>
      <c r="B26" s="3" t="s">
        <v>44</v>
      </c>
      <c r="C26" s="4" t="s">
        <v>1</v>
      </c>
      <c r="D26" s="55">
        <v>45758</v>
      </c>
      <c r="E26" s="5" t="s">
        <v>45</v>
      </c>
      <c r="F26" s="6"/>
      <c r="G26" s="7">
        <v>4.8013000000000003</v>
      </c>
      <c r="H26" s="2">
        <v>7500</v>
      </c>
      <c r="I26" s="61">
        <f t="shared" si="0"/>
        <v>36009.75</v>
      </c>
      <c r="J26" s="8"/>
      <c r="K26" s="9"/>
      <c r="L26" s="10"/>
      <c r="M26" s="11">
        <v>0</v>
      </c>
      <c r="N26" s="6"/>
      <c r="O26" s="12"/>
      <c r="P26" s="6">
        <v>4</v>
      </c>
      <c r="Q26" s="6" t="s">
        <v>3</v>
      </c>
      <c r="R26" s="53" t="s">
        <v>1733</v>
      </c>
    </row>
    <row r="27" spans="1:18" x14ac:dyDescent="0.25">
      <c r="A27" s="2">
        <v>26</v>
      </c>
      <c r="B27" s="3" t="s">
        <v>46</v>
      </c>
      <c r="C27" s="4" t="s">
        <v>1</v>
      </c>
      <c r="D27" s="55">
        <v>45758</v>
      </c>
      <c r="E27" s="5" t="s">
        <v>1738</v>
      </c>
      <c r="F27" s="6"/>
      <c r="G27" s="7">
        <v>4.8013000000000003</v>
      </c>
      <c r="H27" s="2">
        <v>7501</v>
      </c>
      <c r="I27" s="61">
        <f t="shared" si="0"/>
        <v>36014.551299999999</v>
      </c>
      <c r="J27" s="8"/>
      <c r="K27" s="9"/>
      <c r="L27" s="10"/>
      <c r="M27" s="11">
        <v>0</v>
      </c>
      <c r="N27" s="6"/>
      <c r="O27" s="12"/>
      <c r="P27" s="6">
        <v>4</v>
      </c>
      <c r="Q27" s="6" t="s">
        <v>3</v>
      </c>
      <c r="R27" s="53" t="s">
        <v>1733</v>
      </c>
    </row>
    <row r="28" spans="1:18" x14ac:dyDescent="0.25">
      <c r="A28" s="13">
        <v>27</v>
      </c>
      <c r="B28" s="3" t="s">
        <v>47</v>
      </c>
      <c r="C28" s="4" t="s">
        <v>1</v>
      </c>
      <c r="D28" s="55">
        <v>45758</v>
      </c>
      <c r="E28" s="5" t="s">
        <v>1739</v>
      </c>
      <c r="F28" s="14"/>
      <c r="G28" s="7">
        <v>4.8013000000000003</v>
      </c>
      <c r="H28" s="13">
        <v>50000</v>
      </c>
      <c r="I28" s="61">
        <f t="shared" si="0"/>
        <v>240065.00000000003</v>
      </c>
      <c r="J28" s="8"/>
      <c r="K28" s="9"/>
      <c r="L28" s="10"/>
      <c r="M28" s="15">
        <v>0</v>
      </c>
      <c r="N28" s="6"/>
      <c r="O28" s="12"/>
      <c r="P28" s="6">
        <v>4</v>
      </c>
      <c r="Q28" s="6" t="s">
        <v>3</v>
      </c>
      <c r="R28" s="53" t="s">
        <v>1733</v>
      </c>
    </row>
    <row r="29" spans="1:18" x14ac:dyDescent="0.25">
      <c r="A29" s="2">
        <v>28</v>
      </c>
      <c r="B29" s="3" t="s">
        <v>48</v>
      </c>
      <c r="C29" s="4" t="s">
        <v>1</v>
      </c>
      <c r="D29" s="55">
        <v>45758</v>
      </c>
      <c r="E29" s="5" t="s">
        <v>1740</v>
      </c>
      <c r="F29" s="6"/>
      <c r="G29" s="7">
        <v>4.8013000000000003</v>
      </c>
      <c r="H29" s="2">
        <v>35000</v>
      </c>
      <c r="I29" s="61">
        <f t="shared" si="0"/>
        <v>168045.5</v>
      </c>
      <c r="J29" s="8"/>
      <c r="K29" s="9"/>
      <c r="L29" s="10"/>
      <c r="M29" s="11">
        <v>0</v>
      </c>
      <c r="N29" s="6"/>
      <c r="O29" s="12"/>
      <c r="P29" s="6">
        <v>4</v>
      </c>
      <c r="Q29" s="6" t="s">
        <v>3</v>
      </c>
      <c r="R29" s="53" t="s">
        <v>1733</v>
      </c>
    </row>
    <row r="30" spans="1:18" x14ac:dyDescent="0.25">
      <c r="A30" s="2">
        <v>29</v>
      </c>
      <c r="B30" s="3" t="s">
        <v>49</v>
      </c>
      <c r="C30" s="4" t="s">
        <v>1</v>
      </c>
      <c r="D30" s="55">
        <v>45758</v>
      </c>
      <c r="E30" s="5" t="s">
        <v>50</v>
      </c>
      <c r="F30" s="6"/>
      <c r="G30" s="7">
        <v>4.8013000000000003</v>
      </c>
      <c r="H30" s="2">
        <v>1500</v>
      </c>
      <c r="I30" s="61">
        <f t="shared" si="0"/>
        <v>7201.9500000000007</v>
      </c>
      <c r="J30" s="8"/>
      <c r="K30" s="9"/>
      <c r="L30" s="10"/>
      <c r="M30" s="11">
        <v>0</v>
      </c>
      <c r="N30" s="6"/>
      <c r="O30" s="12"/>
      <c r="P30" s="6">
        <v>4</v>
      </c>
      <c r="Q30" s="6" t="s">
        <v>3</v>
      </c>
      <c r="R30" s="53" t="s">
        <v>1734</v>
      </c>
    </row>
    <row r="31" spans="1:18" x14ac:dyDescent="0.25">
      <c r="A31" s="2">
        <v>30</v>
      </c>
      <c r="B31" s="3" t="s">
        <v>51</v>
      </c>
      <c r="C31" s="4" t="s">
        <v>1</v>
      </c>
      <c r="D31" s="55">
        <v>45758</v>
      </c>
      <c r="E31" s="5" t="s">
        <v>50</v>
      </c>
      <c r="F31" s="6"/>
      <c r="G31" s="7">
        <v>4.8013000000000003</v>
      </c>
      <c r="H31" s="2">
        <v>1500</v>
      </c>
      <c r="I31" s="61">
        <f t="shared" si="0"/>
        <v>7201.9500000000007</v>
      </c>
      <c r="J31" s="8"/>
      <c r="K31" s="9"/>
      <c r="L31" s="10"/>
      <c r="M31" s="11">
        <v>0</v>
      </c>
      <c r="N31" s="6"/>
      <c r="O31" s="12"/>
      <c r="P31" s="6">
        <v>4</v>
      </c>
      <c r="Q31" s="6" t="s">
        <v>3</v>
      </c>
      <c r="R31" s="53" t="s">
        <v>1734</v>
      </c>
    </row>
    <row r="32" spans="1:18" x14ac:dyDescent="0.25">
      <c r="A32" s="2">
        <v>31</v>
      </c>
      <c r="B32" s="3" t="s">
        <v>52</v>
      </c>
      <c r="C32" s="4" t="s">
        <v>1</v>
      </c>
      <c r="D32" s="55">
        <v>45758</v>
      </c>
      <c r="E32" s="5" t="s">
        <v>50</v>
      </c>
      <c r="F32" s="6"/>
      <c r="G32" s="7">
        <v>4.8013000000000003</v>
      </c>
      <c r="H32" s="2">
        <v>1500</v>
      </c>
      <c r="I32" s="61">
        <f t="shared" si="0"/>
        <v>7201.9500000000007</v>
      </c>
      <c r="J32" s="8"/>
      <c r="K32" s="9"/>
      <c r="L32" s="10"/>
      <c r="M32" s="11">
        <v>0</v>
      </c>
      <c r="N32" s="6"/>
      <c r="O32" s="12"/>
      <c r="P32" s="6">
        <v>4</v>
      </c>
      <c r="Q32" s="6" t="s">
        <v>3</v>
      </c>
      <c r="R32" s="53" t="s">
        <v>1734</v>
      </c>
    </row>
    <row r="33" spans="1:18" x14ac:dyDescent="0.25">
      <c r="A33" s="2">
        <v>32</v>
      </c>
      <c r="B33" s="3" t="s">
        <v>53</v>
      </c>
      <c r="C33" s="4" t="s">
        <v>1</v>
      </c>
      <c r="D33" s="55">
        <v>45758</v>
      </c>
      <c r="E33" s="5" t="s">
        <v>1741</v>
      </c>
      <c r="F33" s="6"/>
      <c r="G33" s="7">
        <v>4.8013000000000003</v>
      </c>
      <c r="H33" s="2">
        <v>15400</v>
      </c>
      <c r="I33" s="61">
        <f t="shared" si="0"/>
        <v>73940.02</v>
      </c>
      <c r="J33" s="8"/>
      <c r="K33" s="9"/>
      <c r="L33" s="10"/>
      <c r="M33" s="11">
        <v>0</v>
      </c>
      <c r="N33" s="6"/>
      <c r="O33" s="12"/>
      <c r="P33" s="6">
        <v>4</v>
      </c>
      <c r="Q33" s="6" t="s">
        <v>3</v>
      </c>
      <c r="R33" s="53" t="s">
        <v>1734</v>
      </c>
    </row>
    <row r="34" spans="1:18" x14ac:dyDescent="0.25">
      <c r="A34" s="13">
        <v>33</v>
      </c>
      <c r="B34" s="3" t="s">
        <v>54</v>
      </c>
      <c r="C34" s="4" t="s">
        <v>1</v>
      </c>
      <c r="D34" s="55">
        <v>45758</v>
      </c>
      <c r="E34" s="5" t="s">
        <v>1742</v>
      </c>
      <c r="F34" s="14"/>
      <c r="G34" s="7">
        <v>4.8013000000000003</v>
      </c>
      <c r="H34" s="13">
        <v>20000</v>
      </c>
      <c r="I34" s="61">
        <f t="shared" si="0"/>
        <v>96026</v>
      </c>
      <c r="J34" s="8"/>
      <c r="K34" s="9"/>
      <c r="L34" s="10"/>
      <c r="M34" s="15">
        <v>0</v>
      </c>
      <c r="N34" s="6"/>
      <c r="O34" s="12"/>
      <c r="P34" s="6">
        <v>4</v>
      </c>
      <c r="Q34" s="6" t="s">
        <v>3</v>
      </c>
      <c r="R34" s="53" t="s">
        <v>1734</v>
      </c>
    </row>
    <row r="35" spans="1:18" x14ac:dyDescent="0.25">
      <c r="A35" s="13">
        <v>34</v>
      </c>
      <c r="B35" s="3" t="s">
        <v>55</v>
      </c>
      <c r="C35" s="4" t="s">
        <v>1</v>
      </c>
      <c r="D35" s="55">
        <v>45758</v>
      </c>
      <c r="E35" s="5" t="s">
        <v>56</v>
      </c>
      <c r="F35" s="14"/>
      <c r="G35" s="7">
        <v>4.8013000000000003</v>
      </c>
      <c r="H35" s="13">
        <v>2000</v>
      </c>
      <c r="I35" s="61">
        <f t="shared" si="0"/>
        <v>9602.6</v>
      </c>
      <c r="J35" s="8"/>
      <c r="K35" s="9"/>
      <c r="L35" s="10"/>
      <c r="M35" s="15">
        <v>0</v>
      </c>
      <c r="N35" s="6"/>
      <c r="O35" s="12"/>
      <c r="P35" s="6">
        <v>4</v>
      </c>
      <c r="Q35" s="6" t="s">
        <v>3</v>
      </c>
      <c r="R35" s="53" t="s">
        <v>1734</v>
      </c>
    </row>
    <row r="36" spans="1:18" x14ac:dyDescent="0.25">
      <c r="A36" s="2">
        <v>35</v>
      </c>
      <c r="B36" s="3" t="s">
        <v>57</v>
      </c>
      <c r="C36" s="4" t="s">
        <v>1</v>
      </c>
      <c r="D36" s="55">
        <v>45758</v>
      </c>
      <c r="E36" s="5" t="s">
        <v>58</v>
      </c>
      <c r="F36" s="6"/>
      <c r="G36" s="7">
        <v>4.8013000000000003</v>
      </c>
      <c r="H36" s="2">
        <v>1000</v>
      </c>
      <c r="I36" s="61">
        <f t="shared" si="0"/>
        <v>4801.3</v>
      </c>
      <c r="J36" s="8"/>
      <c r="K36" s="9"/>
      <c r="L36" s="10"/>
      <c r="M36" s="11">
        <v>0</v>
      </c>
      <c r="N36" s="6"/>
      <c r="O36" s="12"/>
      <c r="P36" s="6">
        <v>4</v>
      </c>
      <c r="Q36" s="6" t="s">
        <v>3</v>
      </c>
      <c r="R36" s="53" t="s">
        <v>1734</v>
      </c>
    </row>
    <row r="37" spans="1:18" x14ac:dyDescent="0.25">
      <c r="A37" s="2">
        <v>36</v>
      </c>
      <c r="B37" s="3" t="s">
        <v>59</v>
      </c>
      <c r="C37" s="4" t="s">
        <v>1</v>
      </c>
      <c r="D37" s="55">
        <v>45758</v>
      </c>
      <c r="E37" s="5" t="s">
        <v>1737</v>
      </c>
      <c r="F37" s="6"/>
      <c r="G37" s="7">
        <v>4.8013000000000003</v>
      </c>
      <c r="H37" s="2">
        <v>15000</v>
      </c>
      <c r="I37" s="61">
        <f t="shared" si="0"/>
        <v>72019.5</v>
      </c>
      <c r="J37" s="8"/>
      <c r="K37" s="9"/>
      <c r="L37" s="10"/>
      <c r="M37" s="11">
        <v>0</v>
      </c>
      <c r="N37" s="6"/>
      <c r="O37" s="12"/>
      <c r="P37" s="6">
        <v>4</v>
      </c>
      <c r="Q37" s="6" t="s">
        <v>3</v>
      </c>
      <c r="R37" s="53" t="s">
        <v>1734</v>
      </c>
    </row>
    <row r="38" spans="1:18" x14ac:dyDescent="0.25">
      <c r="A38" s="2">
        <v>37</v>
      </c>
      <c r="B38" s="3" t="s">
        <v>60</v>
      </c>
      <c r="C38" s="4" t="s">
        <v>1</v>
      </c>
      <c r="D38" s="55">
        <v>45758</v>
      </c>
      <c r="E38" s="5" t="s">
        <v>61</v>
      </c>
      <c r="F38" s="6"/>
      <c r="G38" s="7">
        <v>4.8013000000000003</v>
      </c>
      <c r="H38" s="2">
        <v>50000</v>
      </c>
      <c r="I38" s="61">
        <f t="shared" si="0"/>
        <v>240065.00000000003</v>
      </c>
      <c r="J38" s="8"/>
      <c r="K38" s="9"/>
      <c r="L38" s="10"/>
      <c r="M38" s="11">
        <v>0</v>
      </c>
      <c r="N38" s="6"/>
      <c r="O38" s="12"/>
      <c r="P38" s="6">
        <v>4</v>
      </c>
      <c r="Q38" s="6" t="s">
        <v>3</v>
      </c>
      <c r="R38" s="53" t="s">
        <v>1734</v>
      </c>
    </row>
    <row r="39" spans="1:18" x14ac:dyDescent="0.25">
      <c r="A39" s="2">
        <v>1</v>
      </c>
      <c r="B39" s="3" t="s">
        <v>62</v>
      </c>
      <c r="C39" s="46" t="s">
        <v>1711</v>
      </c>
      <c r="D39" s="55">
        <v>45756</v>
      </c>
      <c r="E39" s="5" t="s">
        <v>63</v>
      </c>
      <c r="F39" s="6"/>
      <c r="G39" s="7">
        <v>4.8013000000000003</v>
      </c>
      <c r="H39" s="2">
        <v>7501</v>
      </c>
      <c r="I39" s="61">
        <f t="shared" si="0"/>
        <v>36014.551299999999</v>
      </c>
      <c r="J39" s="8" t="s">
        <v>64</v>
      </c>
      <c r="K39" s="19">
        <v>7501</v>
      </c>
      <c r="L39" s="10" t="s">
        <v>65</v>
      </c>
      <c r="M39" s="18" t="s">
        <v>66</v>
      </c>
      <c r="N39" s="6"/>
      <c r="O39" s="12"/>
      <c r="P39" s="6">
        <v>4</v>
      </c>
      <c r="Q39" s="6" t="s">
        <v>3</v>
      </c>
      <c r="R39" s="53" t="s">
        <v>1734</v>
      </c>
    </row>
    <row r="40" spans="1:18" x14ac:dyDescent="0.25">
      <c r="A40" s="13">
        <v>2</v>
      </c>
      <c r="B40" s="3" t="s">
        <v>67</v>
      </c>
      <c r="C40" s="46" t="s">
        <v>1712</v>
      </c>
      <c r="D40" s="55">
        <v>45756</v>
      </c>
      <c r="E40" s="5" t="s">
        <v>68</v>
      </c>
      <c r="F40" s="14"/>
      <c r="G40" s="7">
        <v>4.8013000000000003</v>
      </c>
      <c r="H40" s="13">
        <v>15000</v>
      </c>
      <c r="I40" s="61">
        <f t="shared" si="0"/>
        <v>72019.5</v>
      </c>
      <c r="J40" s="20" t="s">
        <v>69</v>
      </c>
      <c r="K40" s="19">
        <v>14580</v>
      </c>
      <c r="L40" s="21" t="s">
        <v>70</v>
      </c>
      <c r="M40" s="22" t="s">
        <v>66</v>
      </c>
      <c r="N40" s="6"/>
      <c r="O40" s="12"/>
      <c r="P40" s="6">
        <v>4</v>
      </c>
      <c r="Q40" s="6" t="s">
        <v>3</v>
      </c>
      <c r="R40" s="53" t="s">
        <v>1734</v>
      </c>
    </row>
    <row r="41" spans="1:18" x14ac:dyDescent="0.25">
      <c r="A41" s="2">
        <v>3</v>
      </c>
      <c r="B41" s="3" t="s">
        <v>71</v>
      </c>
      <c r="C41" s="46" t="s">
        <v>1712</v>
      </c>
      <c r="D41" s="55">
        <v>45756</v>
      </c>
      <c r="E41" s="5" t="s">
        <v>73</v>
      </c>
      <c r="F41" s="6"/>
      <c r="G41" s="7">
        <v>4.8013000000000003</v>
      </c>
      <c r="H41" s="2">
        <v>7501</v>
      </c>
      <c r="I41" s="61">
        <f t="shared" si="0"/>
        <v>36014.551299999999</v>
      </c>
      <c r="J41" s="8" t="s">
        <v>69</v>
      </c>
      <c r="K41" s="23" t="s">
        <v>74</v>
      </c>
      <c r="L41" s="10">
        <v>0</v>
      </c>
      <c r="M41" s="11">
        <v>0</v>
      </c>
      <c r="N41" s="6" t="s">
        <v>75</v>
      </c>
      <c r="O41" s="12"/>
      <c r="P41" s="6">
        <v>4</v>
      </c>
      <c r="Q41" s="6" t="s">
        <v>3</v>
      </c>
      <c r="R41" s="53" t="s">
        <v>1734</v>
      </c>
    </row>
    <row r="42" spans="1:18" x14ac:dyDescent="0.25">
      <c r="A42" s="2">
        <v>4</v>
      </c>
      <c r="B42" s="3" t="s">
        <v>76</v>
      </c>
      <c r="C42" s="47" t="s">
        <v>722</v>
      </c>
      <c r="D42" s="55">
        <v>45756</v>
      </c>
      <c r="E42" s="5" t="s">
        <v>1743</v>
      </c>
      <c r="F42" s="6"/>
      <c r="G42" s="7">
        <v>4.8013000000000003</v>
      </c>
      <c r="H42" s="2">
        <v>10000</v>
      </c>
      <c r="I42" s="61">
        <f t="shared" si="0"/>
        <v>48013</v>
      </c>
      <c r="J42" s="8" t="s">
        <v>77</v>
      </c>
      <c r="K42" s="9" t="s">
        <v>74</v>
      </c>
      <c r="L42" s="10">
        <v>0</v>
      </c>
      <c r="M42" s="11">
        <v>0</v>
      </c>
      <c r="N42" s="6"/>
      <c r="O42" s="12"/>
      <c r="P42" s="6">
        <v>4</v>
      </c>
      <c r="Q42" s="6" t="s">
        <v>3</v>
      </c>
      <c r="R42" s="53" t="s">
        <v>1734</v>
      </c>
    </row>
    <row r="43" spans="1:18" x14ac:dyDescent="0.25">
      <c r="A43" s="2">
        <v>5</v>
      </c>
      <c r="B43" s="16" t="s">
        <v>78</v>
      </c>
      <c r="C43" s="48" t="s">
        <v>722</v>
      </c>
      <c r="D43" s="55">
        <v>45756</v>
      </c>
      <c r="E43" s="17" t="s">
        <v>79</v>
      </c>
      <c r="F43" s="6"/>
      <c r="G43" s="7">
        <v>4.8013000000000003</v>
      </c>
      <c r="H43" s="2">
        <v>42791</v>
      </c>
      <c r="I43" s="61">
        <f t="shared" si="0"/>
        <v>205452.42830000003</v>
      </c>
      <c r="J43" s="8" t="s">
        <v>77</v>
      </c>
      <c r="K43" s="9" t="s">
        <v>74</v>
      </c>
      <c r="L43" s="10">
        <v>0</v>
      </c>
      <c r="M43" s="11">
        <v>0</v>
      </c>
      <c r="N43" s="6" t="s">
        <v>80</v>
      </c>
      <c r="O43" s="12"/>
      <c r="P43" s="6">
        <v>4</v>
      </c>
      <c r="Q43" s="6" t="s">
        <v>3</v>
      </c>
      <c r="R43" s="53" t="s">
        <v>1734</v>
      </c>
    </row>
    <row r="44" spans="1:18" x14ac:dyDescent="0.25">
      <c r="A44" s="2">
        <v>6</v>
      </c>
      <c r="B44" s="16" t="s">
        <v>81</v>
      </c>
      <c r="C44" s="48" t="s">
        <v>1711</v>
      </c>
      <c r="D44" s="55">
        <v>45756</v>
      </c>
      <c r="E44" s="17" t="s">
        <v>82</v>
      </c>
      <c r="F44" s="6"/>
      <c r="G44" s="7">
        <v>4.8013000000000003</v>
      </c>
      <c r="H44" s="2">
        <v>0</v>
      </c>
      <c r="I44" s="61" t="str">
        <f t="shared" si="0"/>
        <v/>
      </c>
      <c r="J44" s="8" t="s">
        <v>64</v>
      </c>
      <c r="K44" s="19">
        <v>1000</v>
      </c>
      <c r="L44" s="19">
        <v>1000</v>
      </c>
      <c r="M44" s="11">
        <v>4801.3</v>
      </c>
      <c r="N44" s="6"/>
      <c r="O44" s="12"/>
      <c r="P44" s="6">
        <v>4</v>
      </c>
      <c r="Q44" s="6" t="s">
        <v>3</v>
      </c>
      <c r="R44" s="53" t="s">
        <v>1734</v>
      </c>
    </row>
    <row r="45" spans="1:18" x14ac:dyDescent="0.25">
      <c r="A45" s="2">
        <v>7</v>
      </c>
      <c r="B45" s="3" t="s">
        <v>83</v>
      </c>
      <c r="C45" s="47" t="s">
        <v>1711</v>
      </c>
      <c r="D45" s="55">
        <v>45756</v>
      </c>
      <c r="E45" s="5" t="s">
        <v>1744</v>
      </c>
      <c r="F45" s="6"/>
      <c r="G45" s="7">
        <v>4.8013000000000003</v>
      </c>
      <c r="H45" s="2">
        <v>4000</v>
      </c>
      <c r="I45" s="61">
        <f t="shared" si="0"/>
        <v>19205.2</v>
      </c>
      <c r="J45" s="8" t="s">
        <v>64</v>
      </c>
      <c r="K45" s="9" t="s">
        <v>84</v>
      </c>
      <c r="L45" s="10" t="s">
        <v>84</v>
      </c>
      <c r="M45" s="18" t="s">
        <v>66</v>
      </c>
      <c r="N45" s="6" t="s">
        <v>85</v>
      </c>
      <c r="O45" s="12"/>
      <c r="P45" s="6">
        <v>4</v>
      </c>
      <c r="Q45" s="6" t="s">
        <v>3</v>
      </c>
      <c r="R45" s="53" t="s">
        <v>1734</v>
      </c>
    </row>
    <row r="46" spans="1:18" x14ac:dyDescent="0.25">
      <c r="A46" s="2">
        <v>8</v>
      </c>
      <c r="B46" s="16" t="s">
        <v>86</v>
      </c>
      <c r="C46" s="48" t="s">
        <v>1712</v>
      </c>
      <c r="D46" s="55">
        <v>45756</v>
      </c>
      <c r="E46" s="17" t="s">
        <v>87</v>
      </c>
      <c r="F46" s="6"/>
      <c r="G46" s="7">
        <v>4.8013000000000003</v>
      </c>
      <c r="H46" s="2">
        <v>196000</v>
      </c>
      <c r="I46" s="61">
        <f t="shared" si="0"/>
        <v>941054.8</v>
      </c>
      <c r="J46" s="8" t="s">
        <v>69</v>
      </c>
      <c r="K46" s="9" t="s">
        <v>74</v>
      </c>
      <c r="L46" s="10">
        <v>0</v>
      </c>
      <c r="M46" s="11">
        <v>0</v>
      </c>
      <c r="N46" s="6" t="s">
        <v>80</v>
      </c>
      <c r="O46" s="12"/>
      <c r="P46" s="6">
        <v>4</v>
      </c>
      <c r="Q46" s="6" t="s">
        <v>3</v>
      </c>
      <c r="R46" s="53" t="s">
        <v>1734</v>
      </c>
    </row>
    <row r="47" spans="1:18" x14ac:dyDescent="0.25">
      <c r="A47" s="2">
        <v>9</v>
      </c>
      <c r="B47" s="16" t="s">
        <v>88</v>
      </c>
      <c r="C47" s="48" t="s">
        <v>1712</v>
      </c>
      <c r="D47" s="55">
        <v>45756</v>
      </c>
      <c r="E47" s="17" t="s">
        <v>89</v>
      </c>
      <c r="F47" s="6"/>
      <c r="G47" s="7">
        <v>4.8013000000000003</v>
      </c>
      <c r="H47" s="2">
        <v>7500</v>
      </c>
      <c r="I47" s="61">
        <f t="shared" si="0"/>
        <v>36009.75</v>
      </c>
      <c r="J47" s="8" t="s">
        <v>69</v>
      </c>
      <c r="K47" s="9" t="s">
        <v>90</v>
      </c>
      <c r="L47" s="10" t="s">
        <v>90</v>
      </c>
      <c r="M47" s="18" t="s">
        <v>66</v>
      </c>
      <c r="N47" s="6" t="s">
        <v>80</v>
      </c>
      <c r="O47" s="12"/>
      <c r="P47" s="6">
        <v>4</v>
      </c>
      <c r="Q47" s="6" t="s">
        <v>3</v>
      </c>
      <c r="R47" s="53" t="s">
        <v>1734</v>
      </c>
    </row>
    <row r="48" spans="1:18" x14ac:dyDescent="0.25">
      <c r="A48" s="2">
        <v>10</v>
      </c>
      <c r="B48" s="16" t="s">
        <v>91</v>
      </c>
      <c r="C48" s="48" t="s">
        <v>1712</v>
      </c>
      <c r="D48" s="55">
        <v>45756</v>
      </c>
      <c r="E48" s="17" t="s">
        <v>92</v>
      </c>
      <c r="F48" s="6"/>
      <c r="G48" s="7">
        <v>4.8013000000000003</v>
      </c>
      <c r="H48" s="2">
        <v>515000</v>
      </c>
      <c r="I48" s="61">
        <f t="shared" si="0"/>
        <v>2472669.5</v>
      </c>
      <c r="J48" s="8" t="s">
        <v>69</v>
      </c>
      <c r="K48" s="9" t="s">
        <v>74</v>
      </c>
      <c r="L48" s="10">
        <v>0</v>
      </c>
      <c r="M48" s="11">
        <v>0</v>
      </c>
      <c r="N48" s="6" t="s">
        <v>93</v>
      </c>
      <c r="O48" s="12"/>
      <c r="P48" s="6">
        <v>4</v>
      </c>
      <c r="Q48" s="6" t="s">
        <v>3</v>
      </c>
      <c r="R48" s="53" t="s">
        <v>1734</v>
      </c>
    </row>
    <row r="49" spans="1:18" x14ac:dyDescent="0.25">
      <c r="A49" s="2">
        <v>11</v>
      </c>
      <c r="B49" s="16" t="s">
        <v>94</v>
      </c>
      <c r="C49" s="48" t="s">
        <v>1712</v>
      </c>
      <c r="D49" s="55">
        <v>45756</v>
      </c>
      <c r="E49" s="17" t="s">
        <v>95</v>
      </c>
      <c r="F49" s="6"/>
      <c r="G49" s="7">
        <v>4.8013000000000003</v>
      </c>
      <c r="H49" s="2">
        <v>0</v>
      </c>
      <c r="I49" s="61" t="str">
        <f t="shared" si="0"/>
        <v/>
      </c>
      <c r="J49" s="8" t="s">
        <v>69</v>
      </c>
      <c r="K49" s="9" t="s">
        <v>74</v>
      </c>
      <c r="L49" s="10">
        <v>0</v>
      </c>
      <c r="M49" s="11">
        <v>0</v>
      </c>
      <c r="N49" s="6" t="s">
        <v>80</v>
      </c>
      <c r="O49" s="12"/>
      <c r="P49" s="6">
        <v>4</v>
      </c>
      <c r="Q49" s="6" t="s">
        <v>3</v>
      </c>
      <c r="R49" s="53" t="s">
        <v>1734</v>
      </c>
    </row>
    <row r="50" spans="1:18" x14ac:dyDescent="0.25">
      <c r="A50" s="2">
        <v>12</v>
      </c>
      <c r="B50" s="16" t="s">
        <v>96</v>
      </c>
      <c r="C50" s="48" t="s">
        <v>1711</v>
      </c>
      <c r="D50" s="55">
        <v>45756</v>
      </c>
      <c r="E50" s="17" t="s">
        <v>97</v>
      </c>
      <c r="F50" s="6"/>
      <c r="G50" s="7">
        <v>4.8013000000000003</v>
      </c>
      <c r="H50" s="2">
        <v>0</v>
      </c>
      <c r="I50" s="61" t="str">
        <f t="shared" si="0"/>
        <v/>
      </c>
      <c r="J50" s="8" t="s">
        <v>64</v>
      </c>
      <c r="K50" s="19">
        <v>101250</v>
      </c>
      <c r="L50" s="19">
        <v>101250</v>
      </c>
      <c r="M50" s="11">
        <v>486131.625</v>
      </c>
      <c r="N50" s="6" t="s">
        <v>80</v>
      </c>
      <c r="O50" s="12"/>
      <c r="P50" s="6">
        <v>4</v>
      </c>
      <c r="Q50" s="6" t="s">
        <v>3</v>
      </c>
      <c r="R50" s="53" t="s">
        <v>1734</v>
      </c>
    </row>
    <row r="51" spans="1:18" x14ac:dyDescent="0.25">
      <c r="A51" s="2">
        <v>13</v>
      </c>
      <c r="B51" s="16" t="s">
        <v>98</v>
      </c>
      <c r="C51" s="48" t="s">
        <v>1712</v>
      </c>
      <c r="D51" s="55">
        <v>45756</v>
      </c>
      <c r="E51" s="17" t="s">
        <v>99</v>
      </c>
      <c r="F51" s="6"/>
      <c r="G51" s="7">
        <v>4.8013000000000003</v>
      </c>
      <c r="H51" s="2">
        <v>0</v>
      </c>
      <c r="I51" s="61" t="str">
        <f t="shared" si="0"/>
        <v/>
      </c>
      <c r="J51" s="8" t="s">
        <v>69</v>
      </c>
      <c r="K51" s="19">
        <v>243000</v>
      </c>
      <c r="L51" s="19">
        <v>243000</v>
      </c>
      <c r="M51" s="11">
        <v>1166715.8999999999</v>
      </c>
      <c r="N51" s="6" t="s">
        <v>80</v>
      </c>
      <c r="O51" s="12"/>
      <c r="P51" s="6">
        <v>4</v>
      </c>
      <c r="Q51" s="6" t="s">
        <v>3</v>
      </c>
      <c r="R51" s="53" t="s">
        <v>1734</v>
      </c>
    </row>
    <row r="52" spans="1:18" x14ac:dyDescent="0.25">
      <c r="A52" s="2">
        <v>14</v>
      </c>
      <c r="B52" s="16" t="s">
        <v>100</v>
      </c>
      <c r="C52" s="48" t="s">
        <v>1713</v>
      </c>
      <c r="D52" s="55">
        <v>45756</v>
      </c>
      <c r="E52" s="17" t="s">
        <v>97</v>
      </c>
      <c r="F52" s="6"/>
      <c r="G52" s="7">
        <v>4.8013000000000003</v>
      </c>
      <c r="H52" s="2">
        <v>0</v>
      </c>
      <c r="I52" s="61" t="str">
        <f t="shared" si="0"/>
        <v/>
      </c>
      <c r="J52" s="8" t="s">
        <v>101</v>
      </c>
      <c r="K52" s="19">
        <v>94995</v>
      </c>
      <c r="L52" s="25">
        <v>128243.25</v>
      </c>
      <c r="M52" s="11">
        <v>615734.31622499996</v>
      </c>
      <c r="N52" s="6" t="s">
        <v>80</v>
      </c>
      <c r="O52" s="12"/>
      <c r="P52" s="6">
        <v>4</v>
      </c>
      <c r="Q52" s="6" t="s">
        <v>3</v>
      </c>
      <c r="R52" s="53" t="s">
        <v>1734</v>
      </c>
    </row>
    <row r="53" spans="1:18" x14ac:dyDescent="0.25">
      <c r="A53" s="2">
        <v>15</v>
      </c>
      <c r="B53" s="16" t="s">
        <v>102</v>
      </c>
      <c r="C53" s="48" t="s">
        <v>1711</v>
      </c>
      <c r="D53" s="55">
        <v>45756</v>
      </c>
      <c r="E53" s="17" t="s">
        <v>103</v>
      </c>
      <c r="F53" s="6"/>
      <c r="G53" s="7">
        <v>4.8013000000000003</v>
      </c>
      <c r="H53" s="2">
        <v>0</v>
      </c>
      <c r="I53" s="61" t="str">
        <f t="shared" si="0"/>
        <v/>
      </c>
      <c r="J53" s="8" t="s">
        <v>64</v>
      </c>
      <c r="K53" s="19">
        <v>830250</v>
      </c>
      <c r="L53" s="19">
        <v>830250</v>
      </c>
      <c r="M53" s="11">
        <v>3986279.3250000002</v>
      </c>
      <c r="N53" s="6" t="s">
        <v>80</v>
      </c>
      <c r="O53" s="12"/>
      <c r="P53" s="6">
        <v>4</v>
      </c>
      <c r="Q53" s="6" t="s">
        <v>3</v>
      </c>
      <c r="R53" s="53" t="s">
        <v>1735</v>
      </c>
    </row>
    <row r="54" spans="1:18" x14ac:dyDescent="0.25">
      <c r="A54" s="2">
        <v>16</v>
      </c>
      <c r="B54" s="16" t="s">
        <v>104</v>
      </c>
      <c r="C54" s="48" t="s">
        <v>1711</v>
      </c>
      <c r="D54" s="55">
        <v>45756</v>
      </c>
      <c r="E54" s="17" t="s">
        <v>105</v>
      </c>
      <c r="F54" s="6"/>
      <c r="G54" s="7">
        <v>4.8013000000000003</v>
      </c>
      <c r="H54" s="2">
        <v>0</v>
      </c>
      <c r="I54" s="61" t="str">
        <f t="shared" si="0"/>
        <v/>
      </c>
      <c r="J54" s="8" t="s">
        <v>64</v>
      </c>
      <c r="K54" s="19">
        <v>47620</v>
      </c>
      <c r="L54" s="19">
        <v>47620</v>
      </c>
      <c r="M54" s="11">
        <v>228637.90599999999</v>
      </c>
      <c r="N54" s="6" t="s">
        <v>80</v>
      </c>
      <c r="O54" s="12"/>
      <c r="P54" s="6">
        <v>4</v>
      </c>
      <c r="Q54" s="6" t="s">
        <v>3</v>
      </c>
      <c r="R54" s="53" t="s">
        <v>1735</v>
      </c>
    </row>
    <row r="55" spans="1:18" x14ac:dyDescent="0.25">
      <c r="A55" s="2">
        <v>17</v>
      </c>
      <c r="B55" s="16" t="s">
        <v>106</v>
      </c>
      <c r="C55" s="48" t="s">
        <v>1711</v>
      </c>
      <c r="D55" s="55">
        <v>45756</v>
      </c>
      <c r="E55" s="17" t="s">
        <v>107</v>
      </c>
      <c r="F55" s="6"/>
      <c r="G55" s="7">
        <v>4.8013000000000003</v>
      </c>
      <c r="H55" s="2">
        <v>0</v>
      </c>
      <c r="I55" s="61" t="str">
        <f t="shared" si="0"/>
        <v/>
      </c>
      <c r="J55" s="8" t="s">
        <v>64</v>
      </c>
      <c r="K55" s="19">
        <v>110500</v>
      </c>
      <c r="L55" s="19">
        <v>110500</v>
      </c>
      <c r="M55" s="11">
        <v>530543.65</v>
      </c>
      <c r="N55" s="6"/>
      <c r="O55" s="12"/>
      <c r="P55" s="6">
        <v>4</v>
      </c>
      <c r="Q55" s="6" t="s">
        <v>3</v>
      </c>
      <c r="R55" s="53" t="s">
        <v>1735</v>
      </c>
    </row>
    <row r="56" spans="1:18" x14ac:dyDescent="0.25">
      <c r="A56" s="2">
        <v>18</v>
      </c>
      <c r="B56" s="16" t="s">
        <v>108</v>
      </c>
      <c r="C56" s="48" t="s">
        <v>1711</v>
      </c>
      <c r="D56" s="55">
        <v>45756</v>
      </c>
      <c r="E56" s="17" t="s">
        <v>109</v>
      </c>
      <c r="F56" s="6"/>
      <c r="G56" s="7">
        <v>4.8013000000000003</v>
      </c>
      <c r="H56" s="2">
        <v>0</v>
      </c>
      <c r="I56" s="61" t="str">
        <f t="shared" si="0"/>
        <v/>
      </c>
      <c r="J56" s="8" t="s">
        <v>64</v>
      </c>
      <c r="K56" s="19">
        <v>55650</v>
      </c>
      <c r="L56" s="19">
        <v>55650</v>
      </c>
      <c r="M56" s="11">
        <v>267192.34499999997</v>
      </c>
      <c r="N56" s="6" t="s">
        <v>80</v>
      </c>
      <c r="O56" s="12"/>
      <c r="P56" s="6">
        <v>4</v>
      </c>
      <c r="Q56" s="6" t="s">
        <v>3</v>
      </c>
      <c r="R56" s="53" t="s">
        <v>1735</v>
      </c>
    </row>
    <row r="57" spans="1:18" x14ac:dyDescent="0.25">
      <c r="A57" s="2">
        <v>19</v>
      </c>
      <c r="B57" s="16" t="s">
        <v>108</v>
      </c>
      <c r="C57" s="48" t="s">
        <v>1711</v>
      </c>
      <c r="D57" s="55">
        <v>45756</v>
      </c>
      <c r="E57" s="17" t="s">
        <v>110</v>
      </c>
      <c r="F57" s="6"/>
      <c r="G57" s="7">
        <v>4.8013000000000003</v>
      </c>
      <c r="H57" s="2">
        <v>0</v>
      </c>
      <c r="I57" s="61" t="str">
        <f t="shared" si="0"/>
        <v/>
      </c>
      <c r="J57" s="8" t="s">
        <v>64</v>
      </c>
      <c r="K57" s="26">
        <v>248364</v>
      </c>
      <c r="L57" s="26">
        <v>248364</v>
      </c>
      <c r="M57" s="11">
        <v>1192470.0732</v>
      </c>
      <c r="N57" s="6"/>
      <c r="O57" s="12"/>
      <c r="P57" s="6">
        <v>4</v>
      </c>
      <c r="Q57" s="6" t="s">
        <v>3</v>
      </c>
      <c r="R57" s="53" t="s">
        <v>1735</v>
      </c>
    </row>
    <row r="58" spans="1:18" x14ac:dyDescent="0.25">
      <c r="A58" s="2">
        <v>20</v>
      </c>
      <c r="B58" s="16" t="s">
        <v>111</v>
      </c>
      <c r="C58" s="48" t="s">
        <v>1711</v>
      </c>
      <c r="D58" s="55">
        <v>45756</v>
      </c>
      <c r="E58" s="17" t="s">
        <v>112</v>
      </c>
      <c r="F58" s="6"/>
      <c r="G58" s="7">
        <v>4.8013000000000003</v>
      </c>
      <c r="H58" s="2">
        <v>0</v>
      </c>
      <c r="I58" s="61" t="str">
        <f t="shared" si="0"/>
        <v/>
      </c>
      <c r="J58" s="8" t="s">
        <v>64</v>
      </c>
      <c r="K58" s="26">
        <v>248364</v>
      </c>
      <c r="L58" s="26">
        <v>248364</v>
      </c>
      <c r="M58" s="11">
        <v>1192470.0732</v>
      </c>
      <c r="N58" s="6"/>
      <c r="O58" s="12"/>
      <c r="P58" s="6">
        <v>4</v>
      </c>
      <c r="Q58" s="6" t="s">
        <v>3</v>
      </c>
      <c r="R58" s="53" t="s">
        <v>1735</v>
      </c>
    </row>
    <row r="59" spans="1:18" x14ac:dyDescent="0.25">
      <c r="A59" s="2">
        <v>21</v>
      </c>
      <c r="B59" s="16" t="s">
        <v>113</v>
      </c>
      <c r="C59" s="48" t="s">
        <v>1712</v>
      </c>
      <c r="D59" s="55">
        <v>45756</v>
      </c>
      <c r="E59" s="17" t="s">
        <v>114</v>
      </c>
      <c r="F59" s="6"/>
      <c r="G59" s="7">
        <v>4.8013000000000003</v>
      </c>
      <c r="H59" s="2">
        <v>14000</v>
      </c>
      <c r="I59" s="61">
        <f t="shared" si="0"/>
        <v>67218.200000000012</v>
      </c>
      <c r="J59" s="8" t="s">
        <v>69</v>
      </c>
      <c r="K59" s="9" t="s">
        <v>115</v>
      </c>
      <c r="L59" s="10" t="s">
        <v>115</v>
      </c>
      <c r="M59" s="18" t="s">
        <v>66</v>
      </c>
      <c r="N59" s="6" t="s">
        <v>116</v>
      </c>
      <c r="O59" s="12"/>
      <c r="P59" s="6">
        <v>4</v>
      </c>
      <c r="Q59" s="6" t="s">
        <v>3</v>
      </c>
      <c r="R59" s="53" t="s">
        <v>1735</v>
      </c>
    </row>
    <row r="60" spans="1:18" x14ac:dyDescent="0.25">
      <c r="A60" s="2">
        <v>22</v>
      </c>
      <c r="B60" s="16" t="s">
        <v>117</v>
      </c>
      <c r="C60" s="48" t="s">
        <v>1711</v>
      </c>
      <c r="D60" s="55">
        <v>45756</v>
      </c>
      <c r="E60" s="17" t="s">
        <v>118</v>
      </c>
      <c r="F60" s="6"/>
      <c r="G60" s="7">
        <v>4.8013000000000003</v>
      </c>
      <c r="H60" s="2">
        <v>15000</v>
      </c>
      <c r="I60" s="61">
        <f t="shared" si="0"/>
        <v>72019.5</v>
      </c>
      <c r="J60" s="8" t="s">
        <v>64</v>
      </c>
      <c r="K60" s="9" t="s">
        <v>119</v>
      </c>
      <c r="L60" s="9" t="s">
        <v>119</v>
      </c>
      <c r="M60" s="18" t="s">
        <v>66</v>
      </c>
      <c r="N60" s="6" t="s">
        <v>120</v>
      </c>
      <c r="O60" s="12"/>
      <c r="P60" s="6">
        <v>4</v>
      </c>
      <c r="Q60" s="6" t="s">
        <v>3</v>
      </c>
      <c r="R60" s="53" t="s">
        <v>1735</v>
      </c>
    </row>
    <row r="61" spans="1:18" ht="25.5" x14ac:dyDescent="0.25">
      <c r="A61" s="2">
        <v>23</v>
      </c>
      <c r="B61" s="3" t="s">
        <v>121</v>
      </c>
      <c r="C61" s="47" t="s">
        <v>72</v>
      </c>
      <c r="D61" s="55">
        <v>45756</v>
      </c>
      <c r="E61" s="5" t="s">
        <v>1745</v>
      </c>
      <c r="F61" s="6"/>
      <c r="G61" s="7">
        <v>4.8013000000000003</v>
      </c>
      <c r="H61" s="2">
        <v>50000</v>
      </c>
      <c r="I61" s="61">
        <f t="shared" si="0"/>
        <v>240065.00000000003</v>
      </c>
      <c r="J61" s="8" t="s">
        <v>122</v>
      </c>
      <c r="K61" s="9">
        <v>0</v>
      </c>
      <c r="L61" s="10">
        <v>0</v>
      </c>
      <c r="M61" s="11">
        <v>0</v>
      </c>
      <c r="N61" s="6" t="s">
        <v>123</v>
      </c>
      <c r="O61" s="12"/>
      <c r="P61" s="6">
        <v>4</v>
      </c>
      <c r="Q61" s="6" t="s">
        <v>3</v>
      </c>
      <c r="R61" s="53" t="s">
        <v>1735</v>
      </c>
    </row>
    <row r="62" spans="1:18" x14ac:dyDescent="0.25">
      <c r="A62" s="2">
        <v>24</v>
      </c>
      <c r="B62" s="3" t="s">
        <v>124</v>
      </c>
      <c r="C62" s="47" t="s">
        <v>1712</v>
      </c>
      <c r="D62" s="55">
        <v>45756</v>
      </c>
      <c r="E62" s="5" t="s">
        <v>125</v>
      </c>
      <c r="F62" s="6"/>
      <c r="G62" s="7">
        <v>4.8013000000000003</v>
      </c>
      <c r="H62" s="2">
        <v>0</v>
      </c>
      <c r="I62" s="61" t="str">
        <f t="shared" si="0"/>
        <v/>
      </c>
      <c r="J62" s="8" t="s">
        <v>69</v>
      </c>
      <c r="K62" s="19">
        <v>86800</v>
      </c>
      <c r="L62" s="19">
        <v>86800</v>
      </c>
      <c r="M62" s="11">
        <v>868700</v>
      </c>
      <c r="N62" s="6" t="s">
        <v>126</v>
      </c>
      <c r="O62" s="12"/>
      <c r="P62" s="6">
        <v>4</v>
      </c>
      <c r="Q62" s="6" t="s">
        <v>3</v>
      </c>
      <c r="R62" s="53" t="s">
        <v>1735</v>
      </c>
    </row>
    <row r="63" spans="1:18" x14ac:dyDescent="0.25">
      <c r="A63" s="2">
        <v>25</v>
      </c>
      <c r="B63" s="16" t="s">
        <v>127</v>
      </c>
      <c r="C63" s="48" t="s">
        <v>1712</v>
      </c>
      <c r="D63" s="55">
        <v>45756</v>
      </c>
      <c r="E63" s="17" t="s">
        <v>128</v>
      </c>
      <c r="F63" s="6"/>
      <c r="G63" s="7">
        <v>4.8013000000000003</v>
      </c>
      <c r="H63" s="2">
        <v>0</v>
      </c>
      <c r="I63" s="61" t="str">
        <f t="shared" si="0"/>
        <v/>
      </c>
      <c r="J63" s="8" t="s">
        <v>69</v>
      </c>
      <c r="K63" s="19">
        <v>3500000</v>
      </c>
      <c r="L63" s="19">
        <v>3500000</v>
      </c>
      <c r="M63" s="11">
        <v>16804550</v>
      </c>
      <c r="N63" s="6"/>
      <c r="O63" s="12"/>
      <c r="P63" s="6">
        <v>4</v>
      </c>
      <c r="Q63" s="6" t="s">
        <v>3</v>
      </c>
      <c r="R63" s="53" t="s">
        <v>1735</v>
      </c>
    </row>
    <row r="64" spans="1:18" x14ac:dyDescent="0.25">
      <c r="A64" s="2">
        <v>26</v>
      </c>
      <c r="B64" s="16" t="s">
        <v>129</v>
      </c>
      <c r="C64" s="48" t="s">
        <v>1711</v>
      </c>
      <c r="D64" s="55">
        <v>45756</v>
      </c>
      <c r="E64" s="17" t="s">
        <v>130</v>
      </c>
      <c r="F64" s="6"/>
      <c r="G64" s="7">
        <v>4.8013000000000003</v>
      </c>
      <c r="H64" s="2">
        <v>0</v>
      </c>
      <c r="I64" s="61" t="str">
        <f t="shared" si="0"/>
        <v/>
      </c>
      <c r="J64" s="8" t="s">
        <v>64</v>
      </c>
      <c r="K64" s="19">
        <v>1010500</v>
      </c>
      <c r="L64" s="19">
        <v>1010500</v>
      </c>
      <c r="M64" s="11">
        <v>4851713.6500000004</v>
      </c>
      <c r="N64" s="6"/>
      <c r="O64" s="12"/>
      <c r="P64" s="6">
        <v>4</v>
      </c>
      <c r="Q64" s="6" t="s">
        <v>3</v>
      </c>
      <c r="R64" s="53" t="s">
        <v>1735</v>
      </c>
    </row>
    <row r="65" spans="1:18" x14ac:dyDescent="0.25">
      <c r="A65" s="2">
        <v>27</v>
      </c>
      <c r="B65" s="16" t="s">
        <v>131</v>
      </c>
      <c r="C65" s="48" t="s">
        <v>1711</v>
      </c>
      <c r="D65" s="55">
        <v>45756</v>
      </c>
      <c r="E65" s="17" t="s">
        <v>132</v>
      </c>
      <c r="F65" s="6"/>
      <c r="G65" s="7">
        <v>4.8013000000000003</v>
      </c>
      <c r="H65" s="2">
        <v>0</v>
      </c>
      <c r="I65" s="61" t="str">
        <f t="shared" si="0"/>
        <v/>
      </c>
      <c r="J65" s="8" t="s">
        <v>64</v>
      </c>
      <c r="K65" s="19">
        <v>40026.959999999999</v>
      </c>
      <c r="L65" s="19">
        <v>40026.959999999999</v>
      </c>
      <c r="M65" s="11">
        <v>192181.44304799999</v>
      </c>
      <c r="N65" s="6" t="s">
        <v>120</v>
      </c>
      <c r="O65" s="12"/>
      <c r="P65" s="6">
        <v>4</v>
      </c>
      <c r="Q65" s="6" t="s">
        <v>3</v>
      </c>
      <c r="R65" s="53" t="s">
        <v>1735</v>
      </c>
    </row>
    <row r="66" spans="1:18" x14ac:dyDescent="0.25">
      <c r="A66" s="2">
        <v>28</v>
      </c>
      <c r="B66" s="3" t="s">
        <v>133</v>
      </c>
      <c r="C66" s="47" t="s">
        <v>1711</v>
      </c>
      <c r="D66" s="55">
        <v>45756</v>
      </c>
      <c r="E66" s="5" t="s">
        <v>1746</v>
      </c>
      <c r="F66" s="6"/>
      <c r="G66" s="7">
        <v>4.8013000000000003</v>
      </c>
      <c r="H66" s="2">
        <v>4000</v>
      </c>
      <c r="I66" s="61">
        <f t="shared" si="0"/>
        <v>19205.2</v>
      </c>
      <c r="J66" s="8" t="s">
        <v>64</v>
      </c>
      <c r="K66" s="9" t="s">
        <v>84</v>
      </c>
      <c r="L66" s="10" t="s">
        <v>84</v>
      </c>
      <c r="M66" s="18" t="s">
        <v>66</v>
      </c>
      <c r="N66" s="6"/>
      <c r="O66" s="12"/>
      <c r="P66" s="6">
        <v>4</v>
      </c>
      <c r="Q66" s="6" t="s">
        <v>3</v>
      </c>
      <c r="R66" s="53" t="s">
        <v>1735</v>
      </c>
    </row>
    <row r="67" spans="1:18" x14ac:dyDescent="0.25">
      <c r="A67" s="2">
        <v>29</v>
      </c>
      <c r="B67" s="16" t="s">
        <v>134</v>
      </c>
      <c r="C67" s="48" t="s">
        <v>1712</v>
      </c>
      <c r="D67" s="55">
        <v>45756</v>
      </c>
      <c r="E67" s="17" t="s">
        <v>135</v>
      </c>
      <c r="F67" s="6"/>
      <c r="G67" s="7">
        <v>4.8013000000000003</v>
      </c>
      <c r="H67" s="2">
        <v>3390</v>
      </c>
      <c r="I67" s="61">
        <f t="shared" ref="I67:I130" si="1">IF(H67&lt;&gt;0, G67*H67, "")</f>
        <v>16276.407000000001</v>
      </c>
      <c r="J67" s="8" t="s">
        <v>69</v>
      </c>
      <c r="K67" s="9" t="s">
        <v>74</v>
      </c>
      <c r="L67" s="10"/>
      <c r="M67" s="11">
        <v>0</v>
      </c>
      <c r="N67" s="6" t="s">
        <v>80</v>
      </c>
      <c r="O67" s="12"/>
      <c r="P67" s="6">
        <v>4</v>
      </c>
      <c r="Q67" s="6" t="s">
        <v>3</v>
      </c>
      <c r="R67" s="53" t="s">
        <v>1735</v>
      </c>
    </row>
    <row r="68" spans="1:18" x14ac:dyDescent="0.25">
      <c r="A68" s="2">
        <v>30</v>
      </c>
      <c r="B68" s="16" t="s">
        <v>136</v>
      </c>
      <c r="C68" s="48" t="s">
        <v>1711</v>
      </c>
      <c r="D68" s="55">
        <v>45756</v>
      </c>
      <c r="E68" s="17" t="s">
        <v>137</v>
      </c>
      <c r="F68" s="6"/>
      <c r="G68" s="7">
        <v>4.8013000000000003</v>
      </c>
      <c r="H68" s="2">
        <v>2000</v>
      </c>
      <c r="I68" s="61">
        <f t="shared" si="1"/>
        <v>9602.6</v>
      </c>
      <c r="J68" s="8" t="s">
        <v>64</v>
      </c>
      <c r="K68" s="9" t="s">
        <v>138</v>
      </c>
      <c r="L68" s="10" t="s">
        <v>138</v>
      </c>
      <c r="M68" s="18" t="s">
        <v>66</v>
      </c>
      <c r="N68" s="6"/>
      <c r="O68" s="12"/>
      <c r="P68" s="6">
        <v>4</v>
      </c>
      <c r="Q68" s="6" t="s">
        <v>3</v>
      </c>
      <c r="R68" s="53" t="s">
        <v>1735</v>
      </c>
    </row>
    <row r="69" spans="1:18" x14ac:dyDescent="0.25">
      <c r="A69" s="2">
        <v>31</v>
      </c>
      <c r="B69" s="3" t="s">
        <v>139</v>
      </c>
      <c r="C69" s="47" t="s">
        <v>1711</v>
      </c>
      <c r="D69" s="55">
        <v>45756</v>
      </c>
      <c r="E69" s="5" t="s">
        <v>140</v>
      </c>
      <c r="F69" s="6"/>
      <c r="G69" s="7">
        <v>4.8013000000000003</v>
      </c>
      <c r="H69" s="2">
        <v>0</v>
      </c>
      <c r="I69" s="61" t="str">
        <f t="shared" si="1"/>
        <v/>
      </c>
      <c r="J69" s="8" t="s">
        <v>64</v>
      </c>
      <c r="K69" s="19">
        <v>50000</v>
      </c>
      <c r="L69" s="19">
        <v>50000</v>
      </c>
      <c r="M69" s="11">
        <v>50000</v>
      </c>
      <c r="N69" s="6"/>
      <c r="O69" s="12"/>
      <c r="P69" s="6">
        <v>4</v>
      </c>
      <c r="Q69" s="6" t="s">
        <v>3</v>
      </c>
      <c r="R69" s="53" t="s">
        <v>1735</v>
      </c>
    </row>
    <row r="70" spans="1:18" x14ac:dyDescent="0.25">
      <c r="A70" s="2">
        <v>32</v>
      </c>
      <c r="B70" s="16" t="s">
        <v>141</v>
      </c>
      <c r="C70" s="48" t="s">
        <v>1712</v>
      </c>
      <c r="D70" s="55">
        <v>45756</v>
      </c>
      <c r="E70" s="17" t="s">
        <v>142</v>
      </c>
      <c r="F70" s="6"/>
      <c r="G70" s="7">
        <v>4.8013000000000003</v>
      </c>
      <c r="H70" s="2">
        <v>0</v>
      </c>
      <c r="I70" s="61" t="str">
        <f t="shared" si="1"/>
        <v/>
      </c>
      <c r="J70" s="8" t="s">
        <v>69</v>
      </c>
      <c r="K70" s="9" t="s">
        <v>74</v>
      </c>
      <c r="L70" s="10"/>
      <c r="M70" s="11">
        <v>0</v>
      </c>
      <c r="N70" s="6" t="s">
        <v>143</v>
      </c>
      <c r="O70" s="12"/>
      <c r="P70" s="6">
        <v>4</v>
      </c>
      <c r="Q70" s="6" t="s">
        <v>3</v>
      </c>
      <c r="R70" s="53" t="s">
        <v>1735</v>
      </c>
    </row>
    <row r="71" spans="1:18" x14ac:dyDescent="0.25">
      <c r="A71" s="2">
        <v>33</v>
      </c>
      <c r="B71" s="3" t="s">
        <v>144</v>
      </c>
      <c r="C71" s="47" t="s">
        <v>1711</v>
      </c>
      <c r="D71" s="55">
        <v>45756</v>
      </c>
      <c r="E71" s="5" t="s">
        <v>145</v>
      </c>
      <c r="F71" s="6"/>
      <c r="G71" s="7">
        <v>4.8013000000000003</v>
      </c>
      <c r="H71" s="2">
        <v>40000</v>
      </c>
      <c r="I71" s="61">
        <f t="shared" si="1"/>
        <v>192052</v>
      </c>
      <c r="J71" s="8" t="s">
        <v>64</v>
      </c>
      <c r="K71" s="9" t="s">
        <v>146</v>
      </c>
      <c r="L71" s="9" t="s">
        <v>146</v>
      </c>
      <c r="M71" s="18" t="s">
        <v>66</v>
      </c>
      <c r="N71" s="6"/>
      <c r="O71" s="12"/>
      <c r="P71" s="6">
        <v>4</v>
      </c>
      <c r="Q71" s="6" t="s">
        <v>3</v>
      </c>
      <c r="R71" s="53" t="s">
        <v>1735</v>
      </c>
    </row>
    <row r="72" spans="1:18" x14ac:dyDescent="0.25">
      <c r="A72" s="2">
        <v>34</v>
      </c>
      <c r="B72" s="16" t="s">
        <v>147</v>
      </c>
      <c r="C72" s="48" t="s">
        <v>1711</v>
      </c>
      <c r="D72" s="55">
        <v>45756</v>
      </c>
      <c r="E72" s="17" t="s">
        <v>1747</v>
      </c>
      <c r="F72" s="6"/>
      <c r="G72" s="7">
        <v>4.8013000000000003</v>
      </c>
      <c r="H72" s="2">
        <v>0</v>
      </c>
      <c r="I72" s="61" t="str">
        <f t="shared" si="1"/>
        <v/>
      </c>
      <c r="J72" s="8" t="s">
        <v>64</v>
      </c>
      <c r="K72" s="19">
        <v>716100</v>
      </c>
      <c r="L72" s="19">
        <v>716100</v>
      </c>
      <c r="M72" s="11">
        <v>3438210.93</v>
      </c>
      <c r="N72" s="6"/>
      <c r="O72" s="12"/>
      <c r="P72" s="6">
        <v>4</v>
      </c>
      <c r="Q72" s="6" t="s">
        <v>3</v>
      </c>
      <c r="R72" s="53" t="s">
        <v>1735</v>
      </c>
    </row>
    <row r="73" spans="1:18" x14ac:dyDescent="0.25">
      <c r="A73" s="13">
        <v>1</v>
      </c>
      <c r="B73" s="3" t="s">
        <v>148</v>
      </c>
      <c r="C73" s="47" t="s">
        <v>1712</v>
      </c>
      <c r="D73" s="55">
        <v>45736</v>
      </c>
      <c r="E73" s="5" t="s">
        <v>149</v>
      </c>
      <c r="F73" s="6"/>
      <c r="G73" s="7">
        <v>4.8013000000000003</v>
      </c>
      <c r="H73" s="2">
        <v>50000</v>
      </c>
      <c r="I73" s="61">
        <f t="shared" si="1"/>
        <v>240065.00000000003</v>
      </c>
      <c r="J73" s="8" t="s">
        <v>69</v>
      </c>
      <c r="K73" s="9" t="s">
        <v>150</v>
      </c>
      <c r="L73" s="10">
        <v>0</v>
      </c>
      <c r="M73" s="11">
        <v>0</v>
      </c>
      <c r="N73" s="6" t="s">
        <v>151</v>
      </c>
      <c r="O73" s="12"/>
      <c r="P73" s="6">
        <v>3</v>
      </c>
      <c r="Q73" s="6" t="s">
        <v>152</v>
      </c>
      <c r="R73" s="53" t="s">
        <v>1735</v>
      </c>
    </row>
    <row r="74" spans="1:18" x14ac:dyDescent="0.25">
      <c r="A74" s="2">
        <v>2</v>
      </c>
      <c r="B74" s="3" t="s">
        <v>153</v>
      </c>
      <c r="C74" s="47" t="s">
        <v>1712</v>
      </c>
      <c r="D74" s="55">
        <v>45736</v>
      </c>
      <c r="E74" s="5" t="s">
        <v>149</v>
      </c>
      <c r="F74" s="6"/>
      <c r="G74" s="7">
        <v>4.8013000000000003</v>
      </c>
      <c r="H74" s="2">
        <v>50001</v>
      </c>
      <c r="I74" s="61">
        <f t="shared" si="1"/>
        <v>240069.80130000002</v>
      </c>
      <c r="J74" s="8" t="s">
        <v>69</v>
      </c>
      <c r="K74" s="9" t="s">
        <v>150</v>
      </c>
      <c r="L74" s="10">
        <v>0</v>
      </c>
      <c r="M74" s="11">
        <v>0</v>
      </c>
      <c r="N74" s="6" t="s">
        <v>151</v>
      </c>
      <c r="O74" s="12"/>
      <c r="P74" s="6">
        <v>3</v>
      </c>
      <c r="Q74" s="6" t="s">
        <v>152</v>
      </c>
      <c r="R74" s="53" t="s">
        <v>1735</v>
      </c>
    </row>
    <row r="75" spans="1:18" x14ac:dyDescent="0.25">
      <c r="A75" s="13">
        <v>3</v>
      </c>
      <c r="B75" s="3" t="s">
        <v>154</v>
      </c>
      <c r="C75" s="47" t="s">
        <v>722</v>
      </c>
      <c r="D75" s="55">
        <v>45736</v>
      </c>
      <c r="E75" s="5" t="s">
        <v>155</v>
      </c>
      <c r="F75" s="6"/>
      <c r="G75" s="7">
        <v>4.8013000000000003</v>
      </c>
      <c r="H75" s="2">
        <v>50000</v>
      </c>
      <c r="I75" s="61">
        <f t="shared" si="1"/>
        <v>240065.00000000003</v>
      </c>
      <c r="J75" s="8" t="s">
        <v>77</v>
      </c>
      <c r="K75" s="9" t="s">
        <v>156</v>
      </c>
      <c r="L75" s="10">
        <v>0</v>
      </c>
      <c r="M75" s="11">
        <v>0</v>
      </c>
      <c r="N75" s="6"/>
      <c r="O75" s="12"/>
      <c r="P75" s="6">
        <v>3</v>
      </c>
      <c r="Q75" s="6" t="s">
        <v>152</v>
      </c>
      <c r="R75" s="53" t="s">
        <v>1735</v>
      </c>
    </row>
    <row r="76" spans="1:18" ht="25.5" x14ac:dyDescent="0.25">
      <c r="A76" s="2">
        <v>4</v>
      </c>
      <c r="B76" s="3" t="s">
        <v>157</v>
      </c>
      <c r="C76" s="47" t="s">
        <v>72</v>
      </c>
      <c r="D76" s="55">
        <v>45736</v>
      </c>
      <c r="E76" s="5" t="s">
        <v>158</v>
      </c>
      <c r="F76" s="6"/>
      <c r="G76" s="7">
        <v>4.8013000000000003</v>
      </c>
      <c r="H76" s="2">
        <v>50000</v>
      </c>
      <c r="I76" s="61">
        <f t="shared" si="1"/>
        <v>240065.00000000003</v>
      </c>
      <c r="J76" s="8" t="s">
        <v>122</v>
      </c>
      <c r="K76" s="9" t="s">
        <v>159</v>
      </c>
      <c r="L76" s="10">
        <v>0</v>
      </c>
      <c r="M76" s="11">
        <v>0</v>
      </c>
      <c r="N76" s="6" t="s">
        <v>160</v>
      </c>
      <c r="O76" s="12"/>
      <c r="P76" s="6">
        <v>3</v>
      </c>
      <c r="Q76" s="6" t="s">
        <v>152</v>
      </c>
      <c r="R76" s="53" t="s">
        <v>1735</v>
      </c>
    </row>
    <row r="77" spans="1:18" x14ac:dyDescent="0.25">
      <c r="A77" s="2">
        <v>5</v>
      </c>
      <c r="B77" s="3" t="s">
        <v>161</v>
      </c>
      <c r="C77" s="47" t="s">
        <v>1713</v>
      </c>
      <c r="D77" s="55">
        <v>45736</v>
      </c>
      <c r="E77" s="5" t="s">
        <v>162</v>
      </c>
      <c r="F77" s="6"/>
      <c r="G77" s="7">
        <v>4.8013000000000003</v>
      </c>
      <c r="H77" s="2">
        <v>7501</v>
      </c>
      <c r="I77" s="61">
        <f t="shared" si="1"/>
        <v>36014.551299999999</v>
      </c>
      <c r="J77" s="8" t="s">
        <v>101</v>
      </c>
      <c r="K77" s="19">
        <v>7501</v>
      </c>
      <c r="L77" s="10">
        <v>29000</v>
      </c>
      <c r="M77" s="11">
        <v>139237.70000000001</v>
      </c>
      <c r="N77" s="6" t="s">
        <v>163</v>
      </c>
      <c r="O77" s="12"/>
      <c r="P77" s="6">
        <v>3</v>
      </c>
      <c r="Q77" s="6" t="s">
        <v>152</v>
      </c>
      <c r="R77" s="53" t="s">
        <v>1735</v>
      </c>
    </row>
    <row r="78" spans="1:18" x14ac:dyDescent="0.25">
      <c r="A78" s="13">
        <v>6</v>
      </c>
      <c r="B78" s="3" t="s">
        <v>164</v>
      </c>
      <c r="C78" s="47" t="s">
        <v>1713</v>
      </c>
      <c r="D78" s="55">
        <v>45736</v>
      </c>
      <c r="E78" s="5" t="s">
        <v>165</v>
      </c>
      <c r="F78" s="6"/>
      <c r="G78" s="7">
        <v>4.8013000000000003</v>
      </c>
      <c r="H78" s="2">
        <v>5000</v>
      </c>
      <c r="I78" s="61">
        <f t="shared" si="1"/>
        <v>24006.5</v>
      </c>
      <c r="J78" s="8" t="s">
        <v>101</v>
      </c>
      <c r="K78" s="19">
        <v>5000</v>
      </c>
      <c r="L78" s="10">
        <v>15000</v>
      </c>
      <c r="M78" s="11">
        <v>72019.5</v>
      </c>
      <c r="N78" s="6"/>
      <c r="O78" s="12"/>
      <c r="P78" s="6">
        <v>3</v>
      </c>
      <c r="Q78" s="6" t="s">
        <v>152</v>
      </c>
      <c r="R78" s="53" t="s">
        <v>1735</v>
      </c>
    </row>
    <row r="79" spans="1:18" x14ac:dyDescent="0.25">
      <c r="A79" s="2">
        <v>7</v>
      </c>
      <c r="B79" s="3" t="s">
        <v>166</v>
      </c>
      <c r="C79" s="47" t="s">
        <v>722</v>
      </c>
      <c r="D79" s="55">
        <v>45736</v>
      </c>
      <c r="E79" s="5" t="s">
        <v>155</v>
      </c>
      <c r="F79" s="6"/>
      <c r="G79" s="7">
        <v>4.8013000000000003</v>
      </c>
      <c r="H79" s="2">
        <v>12586</v>
      </c>
      <c r="I79" s="61">
        <f t="shared" si="1"/>
        <v>60429.161800000002</v>
      </c>
      <c r="J79" s="8" t="s">
        <v>77</v>
      </c>
      <c r="K79" s="9" t="s">
        <v>156</v>
      </c>
      <c r="L79" s="10">
        <v>0</v>
      </c>
      <c r="M79" s="11">
        <v>0</v>
      </c>
      <c r="N79" s="6"/>
      <c r="O79" s="12"/>
      <c r="P79" s="6">
        <v>3</v>
      </c>
      <c r="Q79" s="6" t="s">
        <v>152</v>
      </c>
      <c r="R79" s="53" t="s">
        <v>1735</v>
      </c>
    </row>
    <row r="80" spans="1:18" x14ac:dyDescent="0.25">
      <c r="A80" s="13">
        <v>8</v>
      </c>
      <c r="B80" s="3" t="s">
        <v>167</v>
      </c>
      <c r="C80" s="47" t="s">
        <v>1711</v>
      </c>
      <c r="D80" s="55">
        <v>45736</v>
      </c>
      <c r="E80" s="5" t="s">
        <v>168</v>
      </c>
      <c r="F80" s="6"/>
      <c r="G80" s="7">
        <v>4.8013000000000003</v>
      </c>
      <c r="H80" s="2">
        <v>12000</v>
      </c>
      <c r="I80" s="61">
        <f t="shared" si="1"/>
        <v>57615.600000000006</v>
      </c>
      <c r="J80" s="8" t="s">
        <v>64</v>
      </c>
      <c r="K80" s="19">
        <v>12000</v>
      </c>
      <c r="L80" s="10">
        <v>12000</v>
      </c>
      <c r="M80" s="11">
        <v>57615.6</v>
      </c>
      <c r="N80" s="6" t="s">
        <v>169</v>
      </c>
      <c r="O80" s="12"/>
      <c r="P80" s="6">
        <v>3</v>
      </c>
      <c r="Q80" s="6" t="s">
        <v>152</v>
      </c>
      <c r="R80" s="53" t="s">
        <v>1735</v>
      </c>
    </row>
    <row r="81" spans="1:18" x14ac:dyDescent="0.25">
      <c r="A81" s="2">
        <v>9</v>
      </c>
      <c r="B81" s="3" t="s">
        <v>170</v>
      </c>
      <c r="C81" s="47" t="s">
        <v>1712</v>
      </c>
      <c r="D81" s="55">
        <v>45736</v>
      </c>
      <c r="E81" s="5" t="s">
        <v>171</v>
      </c>
      <c r="F81" s="6"/>
      <c r="G81" s="7">
        <v>4.8013000000000003</v>
      </c>
      <c r="H81" s="2">
        <v>100000</v>
      </c>
      <c r="I81" s="61">
        <f t="shared" si="1"/>
        <v>480130.00000000006</v>
      </c>
      <c r="J81" s="8" t="s">
        <v>69</v>
      </c>
      <c r="K81" s="9" t="s">
        <v>172</v>
      </c>
      <c r="L81" s="10">
        <v>0</v>
      </c>
      <c r="M81" s="11">
        <v>0</v>
      </c>
      <c r="N81" s="6" t="s">
        <v>173</v>
      </c>
      <c r="O81" s="12"/>
      <c r="P81" s="6">
        <v>3</v>
      </c>
      <c r="Q81" s="6" t="s">
        <v>152</v>
      </c>
      <c r="R81" s="53" t="s">
        <v>1735</v>
      </c>
    </row>
    <row r="82" spans="1:18" x14ac:dyDescent="0.25">
      <c r="A82" s="2">
        <v>10</v>
      </c>
      <c r="B82" s="3" t="s">
        <v>174</v>
      </c>
      <c r="C82" s="47" t="s">
        <v>1713</v>
      </c>
      <c r="D82" s="55">
        <v>45736</v>
      </c>
      <c r="E82" s="5" t="s">
        <v>175</v>
      </c>
      <c r="F82" s="6"/>
      <c r="G82" s="7">
        <v>4.8013000000000003</v>
      </c>
      <c r="H82" s="2">
        <v>0</v>
      </c>
      <c r="I82" s="61" t="str">
        <f t="shared" si="1"/>
        <v/>
      </c>
      <c r="J82" s="8" t="s">
        <v>101</v>
      </c>
      <c r="K82" s="19">
        <v>7800</v>
      </c>
      <c r="L82" s="10">
        <v>130000</v>
      </c>
      <c r="M82" s="11">
        <v>7800</v>
      </c>
      <c r="N82" s="6"/>
      <c r="O82" s="12"/>
      <c r="P82" s="6">
        <v>3</v>
      </c>
      <c r="Q82" s="6" t="s">
        <v>152</v>
      </c>
      <c r="R82" s="53" t="s">
        <v>1735</v>
      </c>
    </row>
    <row r="83" spans="1:18" x14ac:dyDescent="0.25">
      <c r="A83" s="13">
        <v>11</v>
      </c>
      <c r="B83" s="3" t="s">
        <v>176</v>
      </c>
      <c r="C83" s="47" t="s">
        <v>1711</v>
      </c>
      <c r="D83" s="55">
        <v>45736</v>
      </c>
      <c r="E83" s="5" t="s">
        <v>177</v>
      </c>
      <c r="F83" s="6"/>
      <c r="G83" s="7">
        <v>4.8013000000000003</v>
      </c>
      <c r="H83" s="2">
        <v>0</v>
      </c>
      <c r="I83" s="61" t="str">
        <f t="shared" si="1"/>
        <v/>
      </c>
      <c r="J83" s="8" t="s">
        <v>64</v>
      </c>
      <c r="K83" s="26">
        <v>126000</v>
      </c>
      <c r="L83" s="27">
        <v>126000</v>
      </c>
      <c r="M83" s="11">
        <v>126000</v>
      </c>
      <c r="N83" s="6" t="s">
        <v>178</v>
      </c>
      <c r="O83" s="12"/>
      <c r="P83" s="6">
        <v>3</v>
      </c>
      <c r="Q83" s="6" t="s">
        <v>152</v>
      </c>
      <c r="R83" s="53" t="s">
        <v>1735</v>
      </c>
    </row>
    <row r="84" spans="1:18" x14ac:dyDescent="0.25">
      <c r="A84" s="2">
        <v>12</v>
      </c>
      <c r="B84" s="3" t="s">
        <v>179</v>
      </c>
      <c r="C84" s="47" t="s">
        <v>1711</v>
      </c>
      <c r="D84" s="55">
        <v>45736</v>
      </c>
      <c r="E84" s="5" t="s">
        <v>177</v>
      </c>
      <c r="F84" s="6"/>
      <c r="G84" s="7">
        <v>4.8013000000000003</v>
      </c>
      <c r="H84" s="2">
        <v>0</v>
      </c>
      <c r="I84" s="61" t="str">
        <f t="shared" si="1"/>
        <v/>
      </c>
      <c r="J84" s="8" t="s">
        <v>64</v>
      </c>
      <c r="K84" s="26">
        <v>315000</v>
      </c>
      <c r="L84" s="27">
        <v>315000</v>
      </c>
      <c r="M84" s="11">
        <v>315000</v>
      </c>
      <c r="N84" s="6" t="s">
        <v>163</v>
      </c>
      <c r="O84" s="12"/>
      <c r="P84" s="6">
        <v>3</v>
      </c>
      <c r="Q84" s="6" t="s">
        <v>152</v>
      </c>
      <c r="R84" s="53" t="s">
        <v>1735</v>
      </c>
    </row>
    <row r="85" spans="1:18" x14ac:dyDescent="0.25">
      <c r="A85" s="13">
        <v>13</v>
      </c>
      <c r="B85" s="3" t="s">
        <v>180</v>
      </c>
      <c r="C85" s="47" t="s">
        <v>1712</v>
      </c>
      <c r="D85" s="55">
        <v>45736</v>
      </c>
      <c r="E85" s="5" t="s">
        <v>181</v>
      </c>
      <c r="F85" s="14"/>
      <c r="G85" s="7">
        <v>4.8013000000000003</v>
      </c>
      <c r="H85" s="13">
        <v>7000</v>
      </c>
      <c r="I85" s="61">
        <f t="shared" si="1"/>
        <v>33609.100000000006</v>
      </c>
      <c r="J85" s="20" t="s">
        <v>69</v>
      </c>
      <c r="K85" s="28">
        <v>4550</v>
      </c>
      <c r="L85" s="21">
        <v>4550</v>
      </c>
      <c r="M85" s="15">
        <v>21845.915000000001</v>
      </c>
      <c r="N85" s="6"/>
      <c r="O85" s="12"/>
      <c r="P85" s="6">
        <v>3</v>
      </c>
      <c r="Q85" s="6" t="s">
        <v>152</v>
      </c>
      <c r="R85" s="53" t="s">
        <v>1735</v>
      </c>
    </row>
    <row r="86" spans="1:18" x14ac:dyDescent="0.25">
      <c r="A86" s="2">
        <v>14</v>
      </c>
      <c r="B86" s="3" t="s">
        <v>182</v>
      </c>
      <c r="C86" s="47" t="s">
        <v>1712</v>
      </c>
      <c r="D86" s="55">
        <v>45736</v>
      </c>
      <c r="E86" s="5" t="s">
        <v>183</v>
      </c>
      <c r="F86" s="6"/>
      <c r="G86" s="7">
        <v>4.8013000000000003</v>
      </c>
      <c r="H86" s="2">
        <v>15000</v>
      </c>
      <c r="I86" s="61">
        <f t="shared" si="1"/>
        <v>72019.5</v>
      </c>
      <c r="J86" s="8" t="s">
        <v>69</v>
      </c>
      <c r="K86" s="19">
        <v>3000</v>
      </c>
      <c r="L86" s="10">
        <v>3000</v>
      </c>
      <c r="M86" s="11">
        <v>14403.9</v>
      </c>
      <c r="N86" s="6"/>
      <c r="O86" s="12"/>
      <c r="P86" s="6">
        <v>3</v>
      </c>
      <c r="Q86" s="6" t="s">
        <v>152</v>
      </c>
      <c r="R86" s="53" t="s">
        <v>1735</v>
      </c>
    </row>
    <row r="87" spans="1:18" x14ac:dyDescent="0.25">
      <c r="A87" s="13">
        <v>15</v>
      </c>
      <c r="B87" s="3" t="s">
        <v>184</v>
      </c>
      <c r="C87" s="47" t="s">
        <v>1711</v>
      </c>
      <c r="D87" s="55">
        <v>45736</v>
      </c>
      <c r="E87" s="5" t="s">
        <v>185</v>
      </c>
      <c r="F87" s="6"/>
      <c r="G87" s="7">
        <v>4.8013000000000003</v>
      </c>
      <c r="H87" s="2">
        <v>7501</v>
      </c>
      <c r="I87" s="61">
        <f t="shared" si="1"/>
        <v>36014.551299999999</v>
      </c>
      <c r="J87" s="8" t="s">
        <v>64</v>
      </c>
      <c r="K87" s="19">
        <v>7501</v>
      </c>
      <c r="L87" s="10">
        <v>7501</v>
      </c>
      <c r="M87" s="11">
        <v>36014.551299999999</v>
      </c>
      <c r="N87" s="6"/>
      <c r="O87" s="12"/>
      <c r="P87" s="6">
        <v>3</v>
      </c>
      <c r="Q87" s="6" t="s">
        <v>152</v>
      </c>
      <c r="R87" s="53" t="s">
        <v>1735</v>
      </c>
    </row>
    <row r="88" spans="1:18" x14ac:dyDescent="0.25">
      <c r="A88" s="2">
        <v>16</v>
      </c>
      <c r="B88" s="3" t="s">
        <v>186</v>
      </c>
      <c r="C88" s="47" t="s">
        <v>1712</v>
      </c>
      <c r="D88" s="55">
        <v>45736</v>
      </c>
      <c r="E88" s="5" t="s">
        <v>187</v>
      </c>
      <c r="F88" s="6"/>
      <c r="G88" s="7">
        <v>4.8013000000000003</v>
      </c>
      <c r="H88" s="2">
        <v>50000</v>
      </c>
      <c r="I88" s="61">
        <f t="shared" si="1"/>
        <v>240065.00000000003</v>
      </c>
      <c r="J88" s="8" t="s">
        <v>69</v>
      </c>
      <c r="K88" s="19">
        <v>32500</v>
      </c>
      <c r="L88" s="10">
        <v>32500</v>
      </c>
      <c r="M88" s="11">
        <v>156042.25</v>
      </c>
      <c r="N88" s="6"/>
      <c r="O88" s="12"/>
      <c r="P88" s="6">
        <v>3</v>
      </c>
      <c r="Q88" s="6" t="s">
        <v>152</v>
      </c>
      <c r="R88" s="53" t="s">
        <v>1735</v>
      </c>
    </row>
    <row r="89" spans="1:18" x14ac:dyDescent="0.25">
      <c r="A89" s="2">
        <v>17</v>
      </c>
      <c r="B89" s="3" t="s">
        <v>188</v>
      </c>
      <c r="C89" s="47" t="s">
        <v>1713</v>
      </c>
      <c r="D89" s="55">
        <v>45736</v>
      </c>
      <c r="E89" s="5" t="s">
        <v>189</v>
      </c>
      <c r="F89" s="6"/>
      <c r="G89" s="7">
        <v>4.8013000000000003</v>
      </c>
      <c r="H89" s="2">
        <v>6000</v>
      </c>
      <c r="I89" s="61">
        <f t="shared" si="1"/>
        <v>28807.800000000003</v>
      </c>
      <c r="J89" s="8" t="s">
        <v>101</v>
      </c>
      <c r="K89" s="19">
        <v>6000</v>
      </c>
      <c r="L89" s="10">
        <v>15000</v>
      </c>
      <c r="M89" s="11">
        <v>72019.5</v>
      </c>
      <c r="N89" s="6"/>
      <c r="O89" s="12"/>
      <c r="P89" s="6">
        <v>3</v>
      </c>
      <c r="Q89" s="6" t="s">
        <v>152</v>
      </c>
      <c r="R89" s="53" t="s">
        <v>1735</v>
      </c>
    </row>
    <row r="90" spans="1:18" x14ac:dyDescent="0.25">
      <c r="A90" s="13">
        <v>18</v>
      </c>
      <c r="B90" s="3" t="s">
        <v>190</v>
      </c>
      <c r="C90" s="47" t="s">
        <v>1711</v>
      </c>
      <c r="D90" s="55">
        <v>45736</v>
      </c>
      <c r="E90" s="5" t="s">
        <v>191</v>
      </c>
      <c r="F90" s="6"/>
      <c r="G90" s="7">
        <v>4.8013000000000003</v>
      </c>
      <c r="H90" s="2">
        <v>3000</v>
      </c>
      <c r="I90" s="61">
        <f t="shared" si="1"/>
        <v>14403.900000000001</v>
      </c>
      <c r="J90" s="8" t="s">
        <v>64</v>
      </c>
      <c r="K90" s="19">
        <v>3000</v>
      </c>
      <c r="L90" s="10">
        <v>3000</v>
      </c>
      <c r="M90" s="11">
        <v>14403.9</v>
      </c>
      <c r="N90" s="6"/>
      <c r="O90" s="12"/>
      <c r="P90" s="6">
        <v>3</v>
      </c>
      <c r="Q90" s="6" t="s">
        <v>152</v>
      </c>
      <c r="R90" s="53" t="s">
        <v>1735</v>
      </c>
    </row>
    <row r="91" spans="1:18" x14ac:dyDescent="0.25">
      <c r="A91" s="2">
        <v>19</v>
      </c>
      <c r="B91" s="3" t="s">
        <v>192</v>
      </c>
      <c r="C91" s="47" t="s">
        <v>1711</v>
      </c>
      <c r="D91" s="55">
        <v>45736</v>
      </c>
      <c r="E91" s="5" t="s">
        <v>1748</v>
      </c>
      <c r="F91" s="6"/>
      <c r="G91" s="7">
        <v>4.8013000000000003</v>
      </c>
      <c r="H91" s="2">
        <v>20000</v>
      </c>
      <c r="I91" s="61">
        <f t="shared" si="1"/>
        <v>96026</v>
      </c>
      <c r="J91" s="8" t="s">
        <v>64</v>
      </c>
      <c r="K91" s="19">
        <v>20000</v>
      </c>
      <c r="L91" s="10">
        <v>20000</v>
      </c>
      <c r="M91" s="11">
        <v>96026</v>
      </c>
      <c r="N91" s="6"/>
      <c r="O91" s="12"/>
      <c r="P91" s="6">
        <v>3</v>
      </c>
      <c r="Q91" s="6" t="s">
        <v>152</v>
      </c>
      <c r="R91" s="53" t="s">
        <v>1735</v>
      </c>
    </row>
    <row r="92" spans="1:18" x14ac:dyDescent="0.25">
      <c r="A92" s="13">
        <v>20</v>
      </c>
      <c r="B92" s="3" t="s">
        <v>193</v>
      </c>
      <c r="C92" s="47" t="s">
        <v>1713</v>
      </c>
      <c r="D92" s="55">
        <v>45736</v>
      </c>
      <c r="E92" s="5" t="s">
        <v>194</v>
      </c>
      <c r="F92" s="6"/>
      <c r="G92" s="7">
        <v>4.8013000000000003</v>
      </c>
      <c r="H92" s="2">
        <v>3000</v>
      </c>
      <c r="I92" s="61">
        <f t="shared" si="1"/>
        <v>14403.900000000001</v>
      </c>
      <c r="J92" s="8" t="s">
        <v>101</v>
      </c>
      <c r="K92" s="19">
        <v>3000</v>
      </c>
      <c r="L92" s="10">
        <v>5000</v>
      </c>
      <c r="M92" s="11">
        <v>24006.5</v>
      </c>
      <c r="N92" s="6"/>
      <c r="O92" s="12"/>
      <c r="P92" s="6">
        <v>3</v>
      </c>
      <c r="Q92" s="6" t="s">
        <v>152</v>
      </c>
      <c r="R92" s="53" t="s">
        <v>1735</v>
      </c>
    </row>
    <row r="93" spans="1:18" x14ac:dyDescent="0.25">
      <c r="A93" s="2">
        <v>21</v>
      </c>
      <c r="B93" s="3" t="s">
        <v>195</v>
      </c>
      <c r="C93" s="47" t="s">
        <v>1713</v>
      </c>
      <c r="D93" s="55">
        <v>45736</v>
      </c>
      <c r="E93" s="5" t="s">
        <v>196</v>
      </c>
      <c r="F93" s="6"/>
      <c r="G93" s="7">
        <v>4.8013000000000003</v>
      </c>
      <c r="H93" s="2">
        <v>750</v>
      </c>
      <c r="I93" s="61">
        <f t="shared" si="1"/>
        <v>3600.9750000000004</v>
      </c>
      <c r="J93" s="8" t="s">
        <v>101</v>
      </c>
      <c r="K93" s="19">
        <v>750</v>
      </c>
      <c r="L93" s="10">
        <v>15000</v>
      </c>
      <c r="M93" s="11">
        <v>72019.5</v>
      </c>
      <c r="N93" s="6"/>
      <c r="O93" s="12"/>
      <c r="P93" s="6">
        <v>3</v>
      </c>
      <c r="Q93" s="6" t="s">
        <v>152</v>
      </c>
      <c r="R93" s="53" t="s">
        <v>1735</v>
      </c>
    </row>
    <row r="94" spans="1:18" x14ac:dyDescent="0.25">
      <c r="A94" s="2">
        <v>22</v>
      </c>
      <c r="B94" s="3" t="s">
        <v>197</v>
      </c>
      <c r="C94" s="47" t="s">
        <v>1713</v>
      </c>
      <c r="D94" s="55">
        <v>45736</v>
      </c>
      <c r="E94" s="5" t="s">
        <v>198</v>
      </c>
      <c r="F94" s="6"/>
      <c r="G94" s="7">
        <v>4.8013000000000003</v>
      </c>
      <c r="H94" s="2">
        <v>7000</v>
      </c>
      <c r="I94" s="61">
        <f t="shared" si="1"/>
        <v>33609.100000000006</v>
      </c>
      <c r="J94" s="8" t="s">
        <v>101</v>
      </c>
      <c r="K94" s="19">
        <v>7000</v>
      </c>
      <c r="L94" s="10">
        <v>15000</v>
      </c>
      <c r="M94" s="11">
        <v>72019.5</v>
      </c>
      <c r="N94" s="6"/>
      <c r="O94" s="12"/>
      <c r="P94" s="6">
        <v>3</v>
      </c>
      <c r="Q94" s="6" t="s">
        <v>152</v>
      </c>
      <c r="R94" s="53" t="s">
        <v>1735</v>
      </c>
    </row>
    <row r="95" spans="1:18" x14ac:dyDescent="0.25">
      <c r="A95" s="13">
        <v>23</v>
      </c>
      <c r="B95" s="3" t="s">
        <v>199</v>
      </c>
      <c r="C95" s="47" t="s">
        <v>1713</v>
      </c>
      <c r="D95" s="55">
        <v>45736</v>
      </c>
      <c r="E95" s="5" t="s">
        <v>200</v>
      </c>
      <c r="F95" s="6"/>
      <c r="G95" s="7">
        <v>4.8013000000000003</v>
      </c>
      <c r="H95" s="2">
        <v>3000</v>
      </c>
      <c r="I95" s="61">
        <f t="shared" si="1"/>
        <v>14403.900000000001</v>
      </c>
      <c r="J95" s="8" t="s">
        <v>101</v>
      </c>
      <c r="K95" s="19">
        <v>3000</v>
      </c>
      <c r="L95" s="10">
        <v>5000</v>
      </c>
      <c r="M95" s="11">
        <v>24006.5</v>
      </c>
      <c r="N95" s="6"/>
      <c r="O95" s="12"/>
      <c r="P95" s="6">
        <v>3</v>
      </c>
      <c r="Q95" s="6" t="s">
        <v>152</v>
      </c>
      <c r="R95" s="53" t="s">
        <v>1735</v>
      </c>
    </row>
    <row r="96" spans="1:18" x14ac:dyDescent="0.25">
      <c r="A96" s="2">
        <v>24</v>
      </c>
      <c r="B96" s="3" t="s">
        <v>201</v>
      </c>
      <c r="C96" s="47" t="s">
        <v>1711</v>
      </c>
      <c r="D96" s="55">
        <v>45736</v>
      </c>
      <c r="E96" s="5" t="s">
        <v>202</v>
      </c>
      <c r="F96" s="6"/>
      <c r="G96" s="7">
        <v>4.8013000000000003</v>
      </c>
      <c r="H96" s="2">
        <v>7500</v>
      </c>
      <c r="I96" s="61">
        <f t="shared" si="1"/>
        <v>36009.75</v>
      </c>
      <c r="J96" s="8" t="s">
        <v>64</v>
      </c>
      <c r="K96" s="19">
        <v>7500</v>
      </c>
      <c r="L96" s="10">
        <v>7500</v>
      </c>
      <c r="M96" s="11">
        <v>36009.75</v>
      </c>
      <c r="N96" s="6"/>
      <c r="O96" s="12"/>
      <c r="P96" s="6">
        <v>3</v>
      </c>
      <c r="Q96" s="6" t="s">
        <v>152</v>
      </c>
      <c r="R96" s="53" t="s">
        <v>1735</v>
      </c>
    </row>
    <row r="97" spans="1:18" x14ac:dyDescent="0.25">
      <c r="A97" s="13">
        <v>25</v>
      </c>
      <c r="B97" s="3" t="s">
        <v>203</v>
      </c>
      <c r="C97" s="47" t="s">
        <v>1712</v>
      </c>
      <c r="D97" s="55">
        <v>45736</v>
      </c>
      <c r="E97" s="5" t="s">
        <v>204</v>
      </c>
      <c r="F97" s="6"/>
      <c r="G97" s="7">
        <v>4.8013000000000003</v>
      </c>
      <c r="H97" s="2">
        <v>50001</v>
      </c>
      <c r="I97" s="61">
        <f t="shared" si="1"/>
        <v>240069.80130000002</v>
      </c>
      <c r="J97" s="8" t="s">
        <v>69</v>
      </c>
      <c r="K97" s="19">
        <v>32500</v>
      </c>
      <c r="L97" s="10">
        <v>32500</v>
      </c>
      <c r="M97" s="11">
        <v>156042.25</v>
      </c>
      <c r="N97" s="6"/>
      <c r="O97" s="12"/>
      <c r="P97" s="6">
        <v>3</v>
      </c>
      <c r="Q97" s="6" t="s">
        <v>152</v>
      </c>
      <c r="R97" s="53" t="s">
        <v>1735</v>
      </c>
    </row>
    <row r="98" spans="1:18" x14ac:dyDescent="0.25">
      <c r="A98" s="2">
        <v>26</v>
      </c>
      <c r="B98" s="3" t="s">
        <v>205</v>
      </c>
      <c r="C98" s="47" t="s">
        <v>1712</v>
      </c>
      <c r="D98" s="55">
        <v>45736</v>
      </c>
      <c r="E98" s="5" t="s">
        <v>187</v>
      </c>
      <c r="F98" s="6"/>
      <c r="G98" s="7">
        <v>4.8013000000000003</v>
      </c>
      <c r="H98" s="2">
        <v>20000</v>
      </c>
      <c r="I98" s="61">
        <f t="shared" si="1"/>
        <v>96026</v>
      </c>
      <c r="J98" s="8" t="s">
        <v>69</v>
      </c>
      <c r="K98" s="19">
        <v>18000</v>
      </c>
      <c r="L98" s="10">
        <v>18000</v>
      </c>
      <c r="M98" s="11">
        <v>86423.4</v>
      </c>
      <c r="N98" s="6"/>
      <c r="O98" s="12"/>
      <c r="P98" s="6">
        <v>3</v>
      </c>
      <c r="Q98" s="6" t="s">
        <v>152</v>
      </c>
      <c r="R98" s="53" t="s">
        <v>1735</v>
      </c>
    </row>
    <row r="99" spans="1:18" x14ac:dyDescent="0.25">
      <c r="A99" s="2">
        <v>27</v>
      </c>
      <c r="B99" s="3" t="s">
        <v>206</v>
      </c>
      <c r="C99" s="47" t="s">
        <v>1711</v>
      </c>
      <c r="D99" s="55">
        <v>45736</v>
      </c>
      <c r="E99" s="5" t="s">
        <v>207</v>
      </c>
      <c r="F99" s="6"/>
      <c r="G99" s="7">
        <v>4.8013000000000003</v>
      </c>
      <c r="H99" s="2">
        <v>3000</v>
      </c>
      <c r="I99" s="61">
        <f t="shared" si="1"/>
        <v>14403.900000000001</v>
      </c>
      <c r="J99" s="8" t="s">
        <v>64</v>
      </c>
      <c r="K99" s="19">
        <v>3000</v>
      </c>
      <c r="L99" s="10">
        <v>3000</v>
      </c>
      <c r="M99" s="11">
        <v>14403.9</v>
      </c>
      <c r="N99" s="6"/>
      <c r="O99" s="12"/>
      <c r="P99" s="6">
        <v>3</v>
      </c>
      <c r="Q99" s="6" t="s">
        <v>152</v>
      </c>
      <c r="R99" s="53" t="s">
        <v>1735</v>
      </c>
    </row>
    <row r="100" spans="1:18" x14ac:dyDescent="0.25">
      <c r="A100" s="13">
        <v>28</v>
      </c>
      <c r="B100" s="3" t="s">
        <v>208</v>
      </c>
      <c r="C100" s="47" t="s">
        <v>1711</v>
      </c>
      <c r="D100" s="55">
        <v>45736</v>
      </c>
      <c r="E100" s="5" t="s">
        <v>209</v>
      </c>
      <c r="F100" s="6"/>
      <c r="G100" s="7">
        <v>4.8013000000000003</v>
      </c>
      <c r="H100" s="2">
        <v>7000</v>
      </c>
      <c r="I100" s="61">
        <f t="shared" si="1"/>
        <v>33609.100000000006</v>
      </c>
      <c r="J100" s="8" t="s">
        <v>64</v>
      </c>
      <c r="K100" s="9" t="s">
        <v>210</v>
      </c>
      <c r="L100" s="10">
        <v>7000</v>
      </c>
      <c r="M100" s="11">
        <v>33609.1</v>
      </c>
      <c r="N100" s="6"/>
      <c r="O100" s="12"/>
      <c r="P100" s="6">
        <v>3</v>
      </c>
      <c r="Q100" s="6" t="s">
        <v>152</v>
      </c>
      <c r="R100" s="53" t="s">
        <v>1735</v>
      </c>
    </row>
    <row r="101" spans="1:18" x14ac:dyDescent="0.25">
      <c r="A101" s="2">
        <v>29</v>
      </c>
      <c r="B101" s="3" t="s">
        <v>211</v>
      </c>
      <c r="C101" s="47" t="s">
        <v>1712</v>
      </c>
      <c r="D101" s="55">
        <v>45736</v>
      </c>
      <c r="E101" s="5" t="s">
        <v>212</v>
      </c>
      <c r="F101" s="6"/>
      <c r="G101" s="7">
        <v>4.8013000000000003</v>
      </c>
      <c r="H101" s="2">
        <v>1500</v>
      </c>
      <c r="I101" s="61">
        <f t="shared" si="1"/>
        <v>7201.9500000000007</v>
      </c>
      <c r="J101" s="8" t="s">
        <v>69</v>
      </c>
      <c r="K101" s="19">
        <v>500</v>
      </c>
      <c r="L101" s="10">
        <v>500</v>
      </c>
      <c r="M101" s="11">
        <v>2400.65</v>
      </c>
      <c r="N101" s="6"/>
      <c r="O101" s="12"/>
      <c r="P101" s="6">
        <v>3</v>
      </c>
      <c r="Q101" s="6" t="s">
        <v>152</v>
      </c>
      <c r="R101" s="53" t="s">
        <v>1733</v>
      </c>
    </row>
    <row r="102" spans="1:18" x14ac:dyDescent="0.25">
      <c r="A102" s="13">
        <v>30</v>
      </c>
      <c r="B102" s="3" t="s">
        <v>213</v>
      </c>
      <c r="C102" s="47" t="s">
        <v>1711</v>
      </c>
      <c r="D102" s="55">
        <v>45736</v>
      </c>
      <c r="E102" s="5" t="s">
        <v>214</v>
      </c>
      <c r="F102" s="6"/>
      <c r="G102" s="7">
        <v>4.8013000000000003</v>
      </c>
      <c r="H102" s="2">
        <v>7000</v>
      </c>
      <c r="I102" s="61">
        <f t="shared" si="1"/>
        <v>33609.100000000006</v>
      </c>
      <c r="J102" s="8" t="s">
        <v>64</v>
      </c>
      <c r="K102" s="19">
        <v>7000</v>
      </c>
      <c r="L102" s="10">
        <v>7000</v>
      </c>
      <c r="M102" s="11">
        <v>33609.1</v>
      </c>
      <c r="N102" s="6"/>
      <c r="O102" s="12"/>
      <c r="P102" s="6">
        <v>3</v>
      </c>
      <c r="Q102" s="6" t="s">
        <v>152</v>
      </c>
      <c r="R102" s="53" t="s">
        <v>1733</v>
      </c>
    </row>
    <row r="103" spans="1:18" x14ac:dyDescent="0.25">
      <c r="A103" s="2">
        <v>31</v>
      </c>
      <c r="B103" s="3" t="s">
        <v>215</v>
      </c>
      <c r="C103" s="47" t="s">
        <v>1711</v>
      </c>
      <c r="D103" s="55">
        <v>45736</v>
      </c>
      <c r="E103" s="5" t="s">
        <v>216</v>
      </c>
      <c r="F103" s="6"/>
      <c r="G103" s="7">
        <v>4.8013000000000003</v>
      </c>
      <c r="H103" s="2">
        <v>7501</v>
      </c>
      <c r="I103" s="61">
        <f t="shared" si="1"/>
        <v>36014.551299999999</v>
      </c>
      <c r="J103" s="8" t="s">
        <v>64</v>
      </c>
      <c r="K103" s="19">
        <v>7501</v>
      </c>
      <c r="L103" s="10">
        <v>7501</v>
      </c>
      <c r="M103" s="11">
        <v>36014.551299999999</v>
      </c>
      <c r="N103" s="6"/>
      <c r="O103" s="12"/>
      <c r="P103" s="6">
        <v>3</v>
      </c>
      <c r="Q103" s="6" t="s">
        <v>152</v>
      </c>
      <c r="R103" s="53" t="s">
        <v>1733</v>
      </c>
    </row>
    <row r="104" spans="1:18" x14ac:dyDescent="0.25">
      <c r="A104" s="2">
        <v>32</v>
      </c>
      <c r="B104" s="3" t="s">
        <v>217</v>
      </c>
      <c r="C104" s="47" t="s">
        <v>1712</v>
      </c>
      <c r="D104" s="55">
        <v>45736</v>
      </c>
      <c r="E104" s="5" t="s">
        <v>218</v>
      </c>
      <c r="F104" s="6"/>
      <c r="G104" s="7">
        <v>4.8013000000000003</v>
      </c>
      <c r="H104" s="2">
        <v>0</v>
      </c>
      <c r="I104" s="61" t="str">
        <f t="shared" si="1"/>
        <v/>
      </c>
      <c r="J104" s="8" t="s">
        <v>69</v>
      </c>
      <c r="K104" s="19">
        <v>315450</v>
      </c>
      <c r="L104" s="29">
        <v>315450</v>
      </c>
      <c r="M104" s="11">
        <v>350000</v>
      </c>
      <c r="N104" s="6"/>
      <c r="O104" s="12"/>
      <c r="P104" s="6">
        <v>3</v>
      </c>
      <c r="Q104" s="6" t="s">
        <v>152</v>
      </c>
      <c r="R104" s="53" t="s">
        <v>1733</v>
      </c>
    </row>
    <row r="105" spans="1:18" x14ac:dyDescent="0.25">
      <c r="A105" s="2">
        <v>33</v>
      </c>
      <c r="B105" s="3" t="s">
        <v>219</v>
      </c>
      <c r="C105" s="47" t="s">
        <v>722</v>
      </c>
      <c r="D105" s="55">
        <v>45736</v>
      </c>
      <c r="E105" s="5" t="s">
        <v>220</v>
      </c>
      <c r="F105" s="6"/>
      <c r="G105" s="7">
        <v>4.8013000000000003</v>
      </c>
      <c r="H105" s="2">
        <v>0</v>
      </c>
      <c r="I105" s="61" t="str">
        <f t="shared" si="1"/>
        <v/>
      </c>
      <c r="J105" s="8" t="s">
        <v>77</v>
      </c>
      <c r="K105" s="19">
        <v>80730</v>
      </c>
      <c r="L105" s="10">
        <v>0</v>
      </c>
      <c r="M105" s="11">
        <v>124200</v>
      </c>
      <c r="N105" s="6"/>
      <c r="O105" s="12"/>
      <c r="P105" s="6">
        <v>3</v>
      </c>
      <c r="Q105" s="6" t="s">
        <v>152</v>
      </c>
      <c r="R105" s="53" t="s">
        <v>1733</v>
      </c>
    </row>
    <row r="106" spans="1:18" x14ac:dyDescent="0.25">
      <c r="A106" s="13">
        <v>34</v>
      </c>
      <c r="B106" s="3" t="s">
        <v>221</v>
      </c>
      <c r="C106" s="47" t="s">
        <v>1712</v>
      </c>
      <c r="D106" s="55">
        <v>45736</v>
      </c>
      <c r="E106" s="5" t="s">
        <v>222</v>
      </c>
      <c r="F106" s="6"/>
      <c r="G106" s="7">
        <v>4.8013000000000003</v>
      </c>
      <c r="H106" s="2"/>
      <c r="I106" s="61" t="str">
        <f t="shared" si="1"/>
        <v/>
      </c>
      <c r="J106" s="8" t="s">
        <v>69</v>
      </c>
      <c r="K106" s="19">
        <v>419175</v>
      </c>
      <c r="L106" s="30">
        <v>419175</v>
      </c>
      <c r="M106" s="11">
        <v>419175</v>
      </c>
      <c r="N106" s="6" t="s">
        <v>223</v>
      </c>
      <c r="O106" s="12"/>
      <c r="P106" s="6">
        <v>3</v>
      </c>
      <c r="Q106" s="6" t="s">
        <v>152</v>
      </c>
      <c r="R106" s="53" t="s">
        <v>1733</v>
      </c>
    </row>
    <row r="107" spans="1:18" x14ac:dyDescent="0.25">
      <c r="A107" s="2">
        <v>35</v>
      </c>
      <c r="B107" s="3" t="s">
        <v>224</v>
      </c>
      <c r="C107" s="47" t="s">
        <v>1712</v>
      </c>
      <c r="D107" s="55">
        <v>45736</v>
      </c>
      <c r="E107" s="5" t="s">
        <v>225</v>
      </c>
      <c r="F107" s="6"/>
      <c r="G107" s="7">
        <v>4.8013000000000003</v>
      </c>
      <c r="H107" s="2">
        <v>7501</v>
      </c>
      <c r="I107" s="61">
        <f t="shared" si="1"/>
        <v>36014.551299999999</v>
      </c>
      <c r="J107" s="8" t="s">
        <v>69</v>
      </c>
      <c r="K107" s="19">
        <v>2425</v>
      </c>
      <c r="L107" s="10">
        <v>2425</v>
      </c>
      <c r="M107" s="11">
        <v>11643.1525</v>
      </c>
      <c r="N107" s="6" t="s">
        <v>226</v>
      </c>
      <c r="O107" s="12"/>
      <c r="P107" s="6">
        <v>3</v>
      </c>
      <c r="Q107" s="6" t="s">
        <v>152</v>
      </c>
      <c r="R107" s="53" t="s">
        <v>1733</v>
      </c>
    </row>
    <row r="108" spans="1:18" x14ac:dyDescent="0.25">
      <c r="A108" s="2">
        <v>1</v>
      </c>
      <c r="B108" s="16" t="s">
        <v>227</v>
      </c>
      <c r="C108" s="48" t="s">
        <v>1711</v>
      </c>
      <c r="D108" s="55">
        <v>45728</v>
      </c>
      <c r="E108" s="17" t="s">
        <v>1749</v>
      </c>
      <c r="F108" s="6"/>
      <c r="G108" s="7">
        <v>4.8013000000000003</v>
      </c>
      <c r="H108" s="2">
        <v>3000</v>
      </c>
      <c r="I108" s="61">
        <f t="shared" si="1"/>
        <v>14403.900000000001</v>
      </c>
      <c r="J108" s="8" t="s">
        <v>64</v>
      </c>
      <c r="K108" s="19">
        <v>3000</v>
      </c>
      <c r="L108" s="10">
        <v>3000</v>
      </c>
      <c r="M108" s="11">
        <v>14403.9</v>
      </c>
      <c r="N108" s="6"/>
      <c r="O108" s="12"/>
      <c r="P108" s="6">
        <v>3</v>
      </c>
      <c r="Q108" s="6" t="s">
        <v>152</v>
      </c>
      <c r="R108" s="53" t="s">
        <v>1733</v>
      </c>
    </row>
    <row r="109" spans="1:18" x14ac:dyDescent="0.25">
      <c r="A109" s="2">
        <v>2</v>
      </c>
      <c r="B109" s="16" t="s">
        <v>228</v>
      </c>
      <c r="C109" s="48" t="s">
        <v>1711</v>
      </c>
      <c r="D109" s="55">
        <v>45728</v>
      </c>
      <c r="E109" s="17" t="s">
        <v>229</v>
      </c>
      <c r="F109" s="6"/>
      <c r="G109" s="7">
        <v>4.8013000000000003</v>
      </c>
      <c r="H109" s="2">
        <v>5000</v>
      </c>
      <c r="I109" s="61">
        <f t="shared" si="1"/>
        <v>24006.5</v>
      </c>
      <c r="J109" s="8" t="s">
        <v>64</v>
      </c>
      <c r="K109" s="19">
        <v>5000</v>
      </c>
      <c r="L109" s="10">
        <v>5000</v>
      </c>
      <c r="M109" s="11">
        <v>24006.5</v>
      </c>
      <c r="N109" s="6"/>
      <c r="O109" s="12"/>
      <c r="P109" s="6">
        <v>3</v>
      </c>
      <c r="Q109" s="6" t="s">
        <v>152</v>
      </c>
      <c r="R109" s="53" t="s">
        <v>1733</v>
      </c>
    </row>
    <row r="110" spans="1:18" x14ac:dyDescent="0.25">
      <c r="A110" s="2">
        <v>3</v>
      </c>
      <c r="B110" s="16" t="s">
        <v>230</v>
      </c>
      <c r="C110" s="48" t="s">
        <v>1711</v>
      </c>
      <c r="D110" s="55">
        <v>45728</v>
      </c>
      <c r="E110" s="17" t="s">
        <v>231</v>
      </c>
      <c r="F110" s="6"/>
      <c r="G110" s="7">
        <v>4.8013000000000003</v>
      </c>
      <c r="H110" s="2">
        <v>30000</v>
      </c>
      <c r="I110" s="61">
        <f t="shared" si="1"/>
        <v>144039</v>
      </c>
      <c r="J110" s="8" t="s">
        <v>64</v>
      </c>
      <c r="K110" s="19">
        <v>30000</v>
      </c>
      <c r="L110" s="10">
        <v>30000</v>
      </c>
      <c r="M110" s="11">
        <v>144039</v>
      </c>
      <c r="N110" s="6"/>
      <c r="O110" s="12"/>
      <c r="P110" s="6">
        <v>3</v>
      </c>
      <c r="Q110" s="6" t="s">
        <v>152</v>
      </c>
      <c r="R110" s="53" t="s">
        <v>1733</v>
      </c>
    </row>
    <row r="111" spans="1:18" x14ac:dyDescent="0.25">
      <c r="A111" s="2">
        <v>4</v>
      </c>
      <c r="B111" s="16" t="s">
        <v>232</v>
      </c>
      <c r="C111" s="48" t="s">
        <v>234</v>
      </c>
      <c r="D111" s="55">
        <v>45728</v>
      </c>
      <c r="E111" s="17" t="s">
        <v>233</v>
      </c>
      <c r="F111" s="6"/>
      <c r="G111" s="7">
        <v>4.8013000000000003</v>
      </c>
      <c r="H111" s="2">
        <v>10000</v>
      </c>
      <c r="I111" s="61">
        <f t="shared" si="1"/>
        <v>48013</v>
      </c>
      <c r="J111" s="8" t="s">
        <v>234</v>
      </c>
      <c r="K111" s="9">
        <v>0</v>
      </c>
      <c r="L111" s="10">
        <v>0</v>
      </c>
      <c r="M111" s="11">
        <v>0</v>
      </c>
      <c r="N111" s="6"/>
      <c r="O111" s="12"/>
      <c r="P111" s="6">
        <v>3</v>
      </c>
      <c r="Q111" s="6" t="s">
        <v>152</v>
      </c>
      <c r="R111" s="53" t="s">
        <v>1733</v>
      </c>
    </row>
    <row r="112" spans="1:18" x14ac:dyDescent="0.25">
      <c r="A112" s="2">
        <v>5</v>
      </c>
      <c r="B112" s="16" t="s">
        <v>235</v>
      </c>
      <c r="C112" s="48" t="s">
        <v>1711</v>
      </c>
      <c r="D112" s="55">
        <v>45728</v>
      </c>
      <c r="E112" s="17" t="s">
        <v>236</v>
      </c>
      <c r="F112" s="6"/>
      <c r="G112" s="7">
        <v>4.8013000000000003</v>
      </c>
      <c r="H112" s="2">
        <v>7500</v>
      </c>
      <c r="I112" s="61">
        <f t="shared" si="1"/>
        <v>36009.75</v>
      </c>
      <c r="J112" s="8" t="s">
        <v>64</v>
      </c>
      <c r="K112" s="19">
        <v>7500</v>
      </c>
      <c r="L112" s="10">
        <v>7500</v>
      </c>
      <c r="M112" s="11">
        <v>36009.75</v>
      </c>
      <c r="N112" s="6"/>
      <c r="O112" s="12"/>
      <c r="P112" s="6">
        <v>3</v>
      </c>
      <c r="Q112" s="6" t="s">
        <v>152</v>
      </c>
      <c r="R112" s="53" t="s">
        <v>1733</v>
      </c>
    </row>
    <row r="113" spans="1:18" x14ac:dyDescent="0.25">
      <c r="A113" s="2">
        <v>6</v>
      </c>
      <c r="B113" s="16" t="s">
        <v>237</v>
      </c>
      <c r="C113" s="48" t="s">
        <v>1711</v>
      </c>
      <c r="D113" s="55">
        <v>45728</v>
      </c>
      <c r="E113" s="17" t="s">
        <v>238</v>
      </c>
      <c r="F113" s="6"/>
      <c r="G113" s="7">
        <v>4.8013000000000003</v>
      </c>
      <c r="H113" s="2">
        <v>5000</v>
      </c>
      <c r="I113" s="61">
        <f t="shared" si="1"/>
        <v>24006.5</v>
      </c>
      <c r="J113" s="8" t="s">
        <v>64</v>
      </c>
      <c r="K113" s="19">
        <v>5000</v>
      </c>
      <c r="L113" s="10">
        <v>5000</v>
      </c>
      <c r="M113" s="11">
        <v>24006.5</v>
      </c>
      <c r="N113" s="6"/>
      <c r="O113" s="12"/>
      <c r="P113" s="6">
        <v>3</v>
      </c>
      <c r="Q113" s="6" t="s">
        <v>152</v>
      </c>
      <c r="R113" s="53" t="s">
        <v>1733</v>
      </c>
    </row>
    <row r="114" spans="1:18" x14ac:dyDescent="0.25">
      <c r="A114" s="2">
        <v>7</v>
      </c>
      <c r="B114" s="16" t="s">
        <v>239</v>
      </c>
      <c r="C114" s="48" t="s">
        <v>1712</v>
      </c>
      <c r="D114" s="55">
        <v>45728</v>
      </c>
      <c r="E114" s="17" t="s">
        <v>240</v>
      </c>
      <c r="F114" s="6"/>
      <c r="G114" s="7">
        <v>4.8013000000000003</v>
      </c>
      <c r="H114" s="2">
        <v>4500</v>
      </c>
      <c r="I114" s="61">
        <f t="shared" si="1"/>
        <v>21605.850000000002</v>
      </c>
      <c r="J114" s="8" t="s">
        <v>69</v>
      </c>
      <c r="K114" s="19">
        <v>4500</v>
      </c>
      <c r="L114" s="10">
        <v>1500</v>
      </c>
      <c r="M114" s="11">
        <v>7201.95</v>
      </c>
      <c r="N114" s="6"/>
      <c r="O114" s="12"/>
      <c r="P114" s="6">
        <v>3</v>
      </c>
      <c r="Q114" s="6" t="s">
        <v>152</v>
      </c>
      <c r="R114" s="53" t="s">
        <v>1733</v>
      </c>
    </row>
    <row r="115" spans="1:18" x14ac:dyDescent="0.25">
      <c r="A115" s="2">
        <v>8</v>
      </c>
      <c r="B115" s="16" t="s">
        <v>241</v>
      </c>
      <c r="C115" s="48" t="s">
        <v>1712</v>
      </c>
      <c r="D115" s="55">
        <v>45728</v>
      </c>
      <c r="E115" s="17" t="s">
        <v>242</v>
      </c>
      <c r="F115" s="6"/>
      <c r="G115" s="7">
        <v>4.8013000000000003</v>
      </c>
      <c r="H115" s="2">
        <v>50000</v>
      </c>
      <c r="I115" s="61">
        <f t="shared" si="1"/>
        <v>240065.00000000003</v>
      </c>
      <c r="J115" s="8" t="s">
        <v>69</v>
      </c>
      <c r="K115" s="19">
        <v>50000</v>
      </c>
      <c r="L115" s="10">
        <v>2500</v>
      </c>
      <c r="M115" s="11">
        <v>12003.25</v>
      </c>
      <c r="N115" s="6"/>
      <c r="O115" s="12"/>
      <c r="P115" s="6">
        <v>3</v>
      </c>
      <c r="Q115" s="6" t="s">
        <v>152</v>
      </c>
      <c r="R115" s="53" t="s">
        <v>1733</v>
      </c>
    </row>
    <row r="116" spans="1:18" x14ac:dyDescent="0.25">
      <c r="A116" s="2">
        <v>9</v>
      </c>
      <c r="B116" s="16" t="s">
        <v>243</v>
      </c>
      <c r="C116" s="48" t="s">
        <v>1711</v>
      </c>
      <c r="D116" s="55">
        <v>45728</v>
      </c>
      <c r="E116" s="17" t="s">
        <v>244</v>
      </c>
      <c r="F116" s="6"/>
      <c r="G116" s="7">
        <v>4.8013000000000003</v>
      </c>
      <c r="H116" s="2">
        <v>10000</v>
      </c>
      <c r="I116" s="61">
        <f t="shared" si="1"/>
        <v>48013</v>
      </c>
      <c r="J116" s="8" t="s">
        <v>64</v>
      </c>
      <c r="K116" s="19">
        <v>10000</v>
      </c>
      <c r="L116" s="10">
        <v>10000</v>
      </c>
      <c r="M116" s="11">
        <v>48013</v>
      </c>
      <c r="N116" s="6"/>
      <c r="O116" s="12"/>
      <c r="P116" s="6">
        <v>3</v>
      </c>
      <c r="Q116" s="6" t="s">
        <v>152</v>
      </c>
      <c r="R116" s="53" t="s">
        <v>1733</v>
      </c>
    </row>
    <row r="117" spans="1:18" x14ac:dyDescent="0.25">
      <c r="A117" s="2">
        <v>10</v>
      </c>
      <c r="B117" s="16" t="s">
        <v>245</v>
      </c>
      <c r="C117" s="48" t="s">
        <v>1711</v>
      </c>
      <c r="D117" s="55">
        <v>45728</v>
      </c>
      <c r="E117" s="17" t="s">
        <v>246</v>
      </c>
      <c r="F117" s="6"/>
      <c r="G117" s="7">
        <v>4.8013000000000003</v>
      </c>
      <c r="H117" s="2">
        <v>10000</v>
      </c>
      <c r="I117" s="61">
        <f t="shared" si="1"/>
        <v>48013</v>
      </c>
      <c r="J117" s="8" t="s">
        <v>64</v>
      </c>
      <c r="K117" s="19">
        <v>10000</v>
      </c>
      <c r="L117" s="10">
        <v>10000</v>
      </c>
      <c r="M117" s="11">
        <v>48013</v>
      </c>
      <c r="N117" s="6"/>
      <c r="O117" s="12"/>
      <c r="P117" s="6">
        <v>3</v>
      </c>
      <c r="Q117" s="6" t="s">
        <v>152</v>
      </c>
      <c r="R117" s="53" t="s">
        <v>1733</v>
      </c>
    </row>
    <row r="118" spans="1:18" x14ac:dyDescent="0.25">
      <c r="A118" s="2">
        <v>11</v>
      </c>
      <c r="B118" s="16" t="s">
        <v>247</v>
      </c>
      <c r="C118" s="48" t="s">
        <v>1711</v>
      </c>
      <c r="D118" s="55">
        <v>45728</v>
      </c>
      <c r="E118" s="17" t="s">
        <v>1750</v>
      </c>
      <c r="F118" s="6"/>
      <c r="G118" s="7">
        <v>4.8013000000000003</v>
      </c>
      <c r="H118" s="2">
        <v>16500</v>
      </c>
      <c r="I118" s="61">
        <f t="shared" si="1"/>
        <v>79221.450000000012</v>
      </c>
      <c r="J118" s="8" t="s">
        <v>64</v>
      </c>
      <c r="K118" s="19">
        <v>16500</v>
      </c>
      <c r="L118" s="10">
        <v>16500</v>
      </c>
      <c r="M118" s="11">
        <v>79221.45</v>
      </c>
      <c r="N118" s="6"/>
      <c r="O118" s="12"/>
      <c r="P118" s="6">
        <v>3</v>
      </c>
      <c r="Q118" s="6" t="s">
        <v>152</v>
      </c>
      <c r="R118" s="53" t="s">
        <v>1733</v>
      </c>
    </row>
    <row r="119" spans="1:18" x14ac:dyDescent="0.25">
      <c r="A119" s="2">
        <v>12</v>
      </c>
      <c r="B119" s="16" t="s">
        <v>248</v>
      </c>
      <c r="C119" s="48" t="s">
        <v>1711</v>
      </c>
      <c r="D119" s="55">
        <v>45728</v>
      </c>
      <c r="E119" s="17" t="s">
        <v>1750</v>
      </c>
      <c r="F119" s="6"/>
      <c r="G119" s="7">
        <v>4.8013000000000003</v>
      </c>
      <c r="H119" s="2">
        <v>8000</v>
      </c>
      <c r="I119" s="61">
        <f t="shared" si="1"/>
        <v>38410.400000000001</v>
      </c>
      <c r="J119" s="8" t="s">
        <v>64</v>
      </c>
      <c r="K119" s="19">
        <v>8000</v>
      </c>
      <c r="L119" s="10">
        <v>8000</v>
      </c>
      <c r="M119" s="11">
        <v>38410.400000000001</v>
      </c>
      <c r="N119" s="6"/>
      <c r="O119" s="12"/>
      <c r="P119" s="6">
        <v>3</v>
      </c>
      <c r="Q119" s="6" t="s">
        <v>152</v>
      </c>
      <c r="R119" s="53" t="s">
        <v>1733</v>
      </c>
    </row>
    <row r="120" spans="1:18" x14ac:dyDescent="0.25">
      <c r="A120" s="2">
        <v>13</v>
      </c>
      <c r="B120" s="16" t="s">
        <v>249</v>
      </c>
      <c r="C120" s="48" t="s">
        <v>1711</v>
      </c>
      <c r="D120" s="55">
        <v>45728</v>
      </c>
      <c r="E120" s="17" t="s">
        <v>1750</v>
      </c>
      <c r="F120" s="6"/>
      <c r="G120" s="7">
        <v>4.8013000000000003</v>
      </c>
      <c r="H120" s="2">
        <v>5000</v>
      </c>
      <c r="I120" s="61">
        <f t="shared" si="1"/>
        <v>24006.5</v>
      </c>
      <c r="J120" s="8" t="s">
        <v>64</v>
      </c>
      <c r="K120" s="19">
        <v>5000</v>
      </c>
      <c r="L120" s="10">
        <v>5000</v>
      </c>
      <c r="M120" s="11">
        <v>24006.5</v>
      </c>
      <c r="N120" s="6"/>
      <c r="O120" s="12"/>
      <c r="P120" s="6">
        <v>3</v>
      </c>
      <c r="Q120" s="6" t="s">
        <v>152</v>
      </c>
      <c r="R120" s="53" t="s">
        <v>1733</v>
      </c>
    </row>
    <row r="121" spans="1:18" x14ac:dyDescent="0.25">
      <c r="A121" s="2">
        <v>14</v>
      </c>
      <c r="B121" s="16" t="s">
        <v>250</v>
      </c>
      <c r="C121" s="48" t="s">
        <v>1711</v>
      </c>
      <c r="D121" s="55">
        <v>45728</v>
      </c>
      <c r="E121" s="17" t="s">
        <v>251</v>
      </c>
      <c r="F121" s="6"/>
      <c r="G121" s="7">
        <v>4.8013000000000003</v>
      </c>
      <c r="H121" s="2">
        <v>7500</v>
      </c>
      <c r="I121" s="61">
        <f t="shared" si="1"/>
        <v>36009.75</v>
      </c>
      <c r="J121" s="8" t="s">
        <v>64</v>
      </c>
      <c r="K121" s="19">
        <v>7500</v>
      </c>
      <c r="L121" s="10">
        <v>7500</v>
      </c>
      <c r="M121" s="11">
        <v>36009.75</v>
      </c>
      <c r="N121" s="6"/>
      <c r="O121" s="12"/>
      <c r="P121" s="6">
        <v>3</v>
      </c>
      <c r="Q121" s="6" t="s">
        <v>152</v>
      </c>
      <c r="R121" s="53" t="s">
        <v>1733</v>
      </c>
    </row>
    <row r="122" spans="1:18" x14ac:dyDescent="0.25">
      <c r="A122" s="2">
        <v>15</v>
      </c>
      <c r="B122" s="16" t="s">
        <v>252</v>
      </c>
      <c r="C122" s="48" t="s">
        <v>1711</v>
      </c>
      <c r="D122" s="55">
        <v>45728</v>
      </c>
      <c r="E122" s="17" t="s">
        <v>253</v>
      </c>
      <c r="F122" s="6"/>
      <c r="G122" s="7">
        <v>4.8013000000000003</v>
      </c>
      <c r="H122" s="2">
        <v>25000</v>
      </c>
      <c r="I122" s="61">
        <f t="shared" si="1"/>
        <v>120032.50000000001</v>
      </c>
      <c r="J122" s="8" t="s">
        <v>64</v>
      </c>
      <c r="K122" s="19">
        <v>25000</v>
      </c>
      <c r="L122" s="10">
        <v>25000</v>
      </c>
      <c r="M122" s="11">
        <v>120032.5</v>
      </c>
      <c r="N122" s="6"/>
      <c r="O122" s="12"/>
      <c r="P122" s="6">
        <v>3</v>
      </c>
      <c r="Q122" s="6" t="s">
        <v>152</v>
      </c>
      <c r="R122" s="53" t="s">
        <v>1733</v>
      </c>
    </row>
    <row r="123" spans="1:18" x14ac:dyDescent="0.25">
      <c r="A123" s="2">
        <v>16</v>
      </c>
      <c r="B123" s="16" t="s">
        <v>254</v>
      </c>
      <c r="C123" s="48" t="s">
        <v>1711</v>
      </c>
      <c r="D123" s="55">
        <v>45728</v>
      </c>
      <c r="E123" s="17" t="s">
        <v>255</v>
      </c>
      <c r="F123" s="6"/>
      <c r="G123" s="7">
        <v>4.8013000000000003</v>
      </c>
      <c r="H123" s="2">
        <v>1250</v>
      </c>
      <c r="I123" s="61">
        <f t="shared" si="1"/>
        <v>6001.625</v>
      </c>
      <c r="J123" s="8" t="s">
        <v>64</v>
      </c>
      <c r="K123" s="19">
        <v>1250</v>
      </c>
      <c r="L123" s="10">
        <v>1250</v>
      </c>
      <c r="M123" s="11">
        <v>6001.625</v>
      </c>
      <c r="N123" s="6"/>
      <c r="O123" s="12"/>
      <c r="P123" s="6">
        <v>3</v>
      </c>
      <c r="Q123" s="6" t="s">
        <v>152</v>
      </c>
      <c r="R123" s="53" t="s">
        <v>1733</v>
      </c>
    </row>
    <row r="124" spans="1:18" x14ac:dyDescent="0.25">
      <c r="A124" s="2">
        <v>17</v>
      </c>
      <c r="B124" s="16" t="s">
        <v>256</v>
      </c>
      <c r="C124" s="48" t="s">
        <v>1712</v>
      </c>
      <c r="D124" s="55">
        <v>45728</v>
      </c>
      <c r="E124" s="17" t="s">
        <v>257</v>
      </c>
      <c r="F124" s="6"/>
      <c r="G124" s="7">
        <v>4.8013000000000003</v>
      </c>
      <c r="H124" s="2">
        <v>50000</v>
      </c>
      <c r="I124" s="61">
        <f t="shared" si="1"/>
        <v>240065.00000000003</v>
      </c>
      <c r="J124" s="8" t="s">
        <v>69</v>
      </c>
      <c r="K124" s="19">
        <v>50000</v>
      </c>
      <c r="L124" s="10">
        <v>30000</v>
      </c>
      <c r="M124" s="11">
        <v>144039</v>
      </c>
      <c r="N124" s="6"/>
      <c r="O124" s="12"/>
      <c r="P124" s="6">
        <v>3</v>
      </c>
      <c r="Q124" s="6" t="s">
        <v>152</v>
      </c>
      <c r="R124" s="53" t="s">
        <v>1733</v>
      </c>
    </row>
    <row r="125" spans="1:18" x14ac:dyDescent="0.25">
      <c r="A125" s="2">
        <v>18</v>
      </c>
      <c r="B125" s="16" t="s">
        <v>258</v>
      </c>
      <c r="C125" s="48" t="s">
        <v>1711</v>
      </c>
      <c r="D125" s="55">
        <v>45728</v>
      </c>
      <c r="E125" s="17" t="s">
        <v>259</v>
      </c>
      <c r="F125" s="6"/>
      <c r="G125" s="7">
        <v>4.8013000000000003</v>
      </c>
      <c r="H125" s="2">
        <v>0</v>
      </c>
      <c r="I125" s="61" t="str">
        <f t="shared" si="1"/>
        <v/>
      </c>
      <c r="J125" s="8" t="s">
        <v>64</v>
      </c>
      <c r="K125" s="19">
        <v>224000</v>
      </c>
      <c r="L125" s="10">
        <v>224000</v>
      </c>
      <c r="M125" s="18" t="s">
        <v>260</v>
      </c>
      <c r="N125" s="6"/>
      <c r="O125" s="12"/>
      <c r="P125" s="6">
        <v>3</v>
      </c>
      <c r="Q125" s="6" t="s">
        <v>152</v>
      </c>
      <c r="R125" s="53" t="s">
        <v>1733</v>
      </c>
    </row>
    <row r="126" spans="1:18" x14ac:dyDescent="0.25">
      <c r="A126" s="2">
        <v>20</v>
      </c>
      <c r="B126" s="16" t="s">
        <v>261</v>
      </c>
      <c r="C126" s="48" t="s">
        <v>1711</v>
      </c>
      <c r="D126" s="55">
        <v>45728</v>
      </c>
      <c r="E126" s="17" t="s">
        <v>262</v>
      </c>
      <c r="F126" s="6"/>
      <c r="G126" s="7">
        <v>4.8013000000000003</v>
      </c>
      <c r="H126" s="2">
        <v>0</v>
      </c>
      <c r="I126" s="61" t="str">
        <f t="shared" si="1"/>
        <v/>
      </c>
      <c r="J126" s="8" t="s">
        <v>64</v>
      </c>
      <c r="K126" s="9">
        <v>0</v>
      </c>
      <c r="L126" s="10">
        <v>0</v>
      </c>
      <c r="M126" s="18">
        <v>0</v>
      </c>
      <c r="N126" s="6" t="s">
        <v>1751</v>
      </c>
      <c r="O126" s="12"/>
      <c r="P126" s="6">
        <v>3</v>
      </c>
      <c r="Q126" s="6" t="s">
        <v>152</v>
      </c>
      <c r="R126" s="53" t="s">
        <v>1733</v>
      </c>
    </row>
    <row r="127" spans="1:18" x14ac:dyDescent="0.25">
      <c r="A127" s="2">
        <v>21</v>
      </c>
      <c r="B127" s="16" t="s">
        <v>263</v>
      </c>
      <c r="C127" s="48" t="s">
        <v>1712</v>
      </c>
      <c r="D127" s="55">
        <v>45728</v>
      </c>
      <c r="E127" s="17" t="s">
        <v>264</v>
      </c>
      <c r="F127" s="6"/>
      <c r="G127" s="7">
        <v>4.8013000000000003</v>
      </c>
      <c r="H127" s="2">
        <v>50001</v>
      </c>
      <c r="I127" s="61">
        <f t="shared" si="1"/>
        <v>240069.80130000002</v>
      </c>
      <c r="J127" s="8" t="s">
        <v>69</v>
      </c>
      <c r="K127" s="19">
        <v>50001</v>
      </c>
      <c r="L127" s="10">
        <v>20000</v>
      </c>
      <c r="M127" s="11">
        <v>96026</v>
      </c>
      <c r="N127" s="6"/>
      <c r="O127" s="12"/>
      <c r="P127" s="6">
        <v>3</v>
      </c>
      <c r="Q127" s="6" t="s">
        <v>152</v>
      </c>
      <c r="R127" s="53" t="s">
        <v>1733</v>
      </c>
    </row>
    <row r="128" spans="1:18" x14ac:dyDescent="0.25">
      <c r="A128" s="2">
        <v>22</v>
      </c>
      <c r="B128" s="16" t="s">
        <v>265</v>
      </c>
      <c r="C128" s="49" t="s">
        <v>1</v>
      </c>
      <c r="D128" s="55">
        <v>45728</v>
      </c>
      <c r="E128" s="17" t="s">
        <v>266</v>
      </c>
      <c r="F128" s="6"/>
      <c r="G128" s="7">
        <v>4.8013000000000003</v>
      </c>
      <c r="H128" s="2">
        <v>7500</v>
      </c>
      <c r="I128" s="61">
        <f t="shared" si="1"/>
        <v>36009.75</v>
      </c>
      <c r="J128" s="8"/>
      <c r="K128" s="19">
        <v>7500</v>
      </c>
      <c r="L128" s="10">
        <v>7500</v>
      </c>
      <c r="M128" s="11">
        <v>36009.75</v>
      </c>
      <c r="N128" s="6"/>
      <c r="O128" s="12"/>
      <c r="P128" s="6">
        <v>3</v>
      </c>
      <c r="Q128" s="6" t="s">
        <v>152</v>
      </c>
      <c r="R128" s="53" t="s">
        <v>1733</v>
      </c>
    </row>
    <row r="129" spans="1:18" x14ac:dyDescent="0.25">
      <c r="A129" s="2">
        <v>1</v>
      </c>
      <c r="B129" s="3" t="s">
        <v>267</v>
      </c>
      <c r="C129" s="46" t="s">
        <v>1711</v>
      </c>
      <c r="D129" s="55">
        <v>45707</v>
      </c>
      <c r="E129" s="5" t="s">
        <v>268</v>
      </c>
      <c r="F129" s="6"/>
      <c r="G129" s="7">
        <v>4.8013000000000003</v>
      </c>
      <c r="H129" s="2">
        <v>3000</v>
      </c>
      <c r="I129" s="61">
        <f t="shared" si="1"/>
        <v>14403.900000000001</v>
      </c>
      <c r="J129" s="8" t="s">
        <v>64</v>
      </c>
      <c r="K129" s="19">
        <v>3000</v>
      </c>
      <c r="L129" s="10">
        <v>3000</v>
      </c>
      <c r="M129" s="11">
        <v>14403.9</v>
      </c>
      <c r="N129" s="6"/>
      <c r="O129" s="12"/>
      <c r="P129" s="6">
        <v>2</v>
      </c>
      <c r="Q129" s="6" t="s">
        <v>269</v>
      </c>
      <c r="R129" s="53" t="s">
        <v>1733</v>
      </c>
    </row>
    <row r="130" spans="1:18" x14ac:dyDescent="0.25">
      <c r="A130" s="2">
        <v>2</v>
      </c>
      <c r="B130" s="3" t="s">
        <v>270</v>
      </c>
      <c r="C130" s="46" t="s">
        <v>1711</v>
      </c>
      <c r="D130" s="55">
        <v>45707</v>
      </c>
      <c r="E130" s="5" t="s">
        <v>271</v>
      </c>
      <c r="F130" s="6"/>
      <c r="G130" s="7">
        <v>4.8013000000000003</v>
      </c>
      <c r="H130" s="2">
        <v>7501</v>
      </c>
      <c r="I130" s="61">
        <f t="shared" si="1"/>
        <v>36014.551299999999</v>
      </c>
      <c r="J130" s="8" t="s">
        <v>64</v>
      </c>
      <c r="K130" s="19">
        <v>7501</v>
      </c>
      <c r="L130" s="10">
        <v>7501</v>
      </c>
      <c r="M130" s="11">
        <v>36014.551299999999</v>
      </c>
      <c r="N130" s="6"/>
      <c r="O130" s="12"/>
      <c r="P130" s="6">
        <v>2</v>
      </c>
      <c r="Q130" s="6" t="s">
        <v>269</v>
      </c>
      <c r="R130" s="53" t="s">
        <v>1733</v>
      </c>
    </row>
    <row r="131" spans="1:18" x14ac:dyDescent="0.25">
      <c r="A131" s="2">
        <v>3</v>
      </c>
      <c r="B131" s="3" t="s">
        <v>272</v>
      </c>
      <c r="C131" s="46" t="s">
        <v>1711</v>
      </c>
      <c r="D131" s="55">
        <v>45707</v>
      </c>
      <c r="E131" s="5" t="s">
        <v>273</v>
      </c>
      <c r="F131" s="6"/>
      <c r="G131" s="7">
        <v>4.8013000000000003</v>
      </c>
      <c r="H131" s="2">
        <v>7000</v>
      </c>
      <c r="I131" s="61">
        <f t="shared" ref="I131:I194" si="2">IF(H131&lt;&gt;0, G131*H131, "")</f>
        <v>33609.100000000006</v>
      </c>
      <c r="J131" s="8" t="s">
        <v>64</v>
      </c>
      <c r="K131" s="19">
        <v>7000</v>
      </c>
      <c r="L131" s="10">
        <v>7000</v>
      </c>
      <c r="M131" s="11">
        <v>33609.1</v>
      </c>
      <c r="N131" s="6"/>
      <c r="O131" s="12"/>
      <c r="P131" s="6">
        <v>2</v>
      </c>
      <c r="Q131" s="6" t="s">
        <v>269</v>
      </c>
      <c r="R131" s="53" t="s">
        <v>1733</v>
      </c>
    </row>
    <row r="132" spans="1:18" x14ac:dyDescent="0.25">
      <c r="A132" s="2">
        <v>4</v>
      </c>
      <c r="B132" s="3" t="s">
        <v>274</v>
      </c>
      <c r="C132" s="46" t="s">
        <v>1711</v>
      </c>
      <c r="D132" s="55">
        <v>45707</v>
      </c>
      <c r="E132" s="5" t="s">
        <v>1752</v>
      </c>
      <c r="F132" s="6"/>
      <c r="G132" s="7">
        <v>4.8013000000000003</v>
      </c>
      <c r="H132" s="2">
        <v>7500</v>
      </c>
      <c r="I132" s="61">
        <f t="shared" si="2"/>
        <v>36009.75</v>
      </c>
      <c r="J132" s="8" t="s">
        <v>64</v>
      </c>
      <c r="K132" s="19">
        <v>7500</v>
      </c>
      <c r="L132" s="10">
        <v>7500</v>
      </c>
      <c r="M132" s="11">
        <v>36009.75</v>
      </c>
      <c r="N132" s="6"/>
      <c r="O132" s="12"/>
      <c r="P132" s="6">
        <v>2</v>
      </c>
      <c r="Q132" s="6" t="s">
        <v>269</v>
      </c>
      <c r="R132" s="53" t="s">
        <v>1733</v>
      </c>
    </row>
    <row r="133" spans="1:18" x14ac:dyDescent="0.25">
      <c r="A133" s="2">
        <v>5</v>
      </c>
      <c r="B133" s="16" t="s">
        <v>275</v>
      </c>
      <c r="C133" s="50" t="s">
        <v>1711</v>
      </c>
      <c r="D133" s="55">
        <v>45707</v>
      </c>
      <c r="E133" s="17" t="s">
        <v>276</v>
      </c>
      <c r="F133" s="6"/>
      <c r="G133" s="7">
        <v>4.8013000000000003</v>
      </c>
      <c r="H133" s="2">
        <v>7500</v>
      </c>
      <c r="I133" s="61">
        <f t="shared" si="2"/>
        <v>36009.75</v>
      </c>
      <c r="J133" s="8" t="s">
        <v>64</v>
      </c>
      <c r="K133" s="19">
        <v>7500</v>
      </c>
      <c r="L133" s="10">
        <v>7500</v>
      </c>
      <c r="M133" s="11">
        <v>36009.75</v>
      </c>
      <c r="N133" s="6"/>
      <c r="O133" s="12"/>
      <c r="P133" s="6">
        <v>2</v>
      </c>
      <c r="Q133" s="6" t="s">
        <v>269</v>
      </c>
      <c r="R133" s="53" t="s">
        <v>1733</v>
      </c>
    </row>
    <row r="134" spans="1:18" x14ac:dyDescent="0.25">
      <c r="A134" s="2">
        <v>6</v>
      </c>
      <c r="B134" s="16" t="s">
        <v>277</v>
      </c>
      <c r="C134" s="50" t="s">
        <v>1711</v>
      </c>
      <c r="D134" s="55">
        <v>45707</v>
      </c>
      <c r="E134" s="17" t="s">
        <v>278</v>
      </c>
      <c r="F134" s="6"/>
      <c r="G134" s="7">
        <v>4.8013000000000003</v>
      </c>
      <c r="H134" s="2">
        <v>7000</v>
      </c>
      <c r="I134" s="61">
        <f t="shared" si="2"/>
        <v>33609.100000000006</v>
      </c>
      <c r="J134" s="8" t="s">
        <v>64</v>
      </c>
      <c r="K134" s="19">
        <v>7000</v>
      </c>
      <c r="L134" s="10">
        <v>7000</v>
      </c>
      <c r="M134" s="11">
        <v>33609.1</v>
      </c>
      <c r="N134" s="6"/>
      <c r="O134" s="12"/>
      <c r="P134" s="6">
        <v>2</v>
      </c>
      <c r="Q134" s="6" t="s">
        <v>269</v>
      </c>
      <c r="R134" s="53" t="s">
        <v>1733</v>
      </c>
    </row>
    <row r="135" spans="1:18" x14ac:dyDescent="0.25">
      <c r="A135" s="2">
        <v>7</v>
      </c>
      <c r="B135" s="3" t="s">
        <v>279</v>
      </c>
      <c r="C135" s="46" t="s">
        <v>722</v>
      </c>
      <c r="D135" s="55">
        <v>45707</v>
      </c>
      <c r="E135" s="5" t="s">
        <v>280</v>
      </c>
      <c r="F135" s="6"/>
      <c r="G135" s="7">
        <v>4.8013000000000003</v>
      </c>
      <c r="H135" s="2">
        <v>5000</v>
      </c>
      <c r="I135" s="61">
        <f t="shared" si="2"/>
        <v>24006.5</v>
      </c>
      <c r="J135" s="8" t="s">
        <v>77</v>
      </c>
      <c r="K135" s="9">
        <v>0</v>
      </c>
      <c r="L135" s="10">
        <v>0</v>
      </c>
      <c r="M135" s="11">
        <v>0</v>
      </c>
      <c r="N135" s="6" t="s">
        <v>1753</v>
      </c>
      <c r="O135" s="12"/>
      <c r="P135" s="6">
        <v>2</v>
      </c>
      <c r="Q135" s="6" t="s">
        <v>269</v>
      </c>
      <c r="R135" s="53" t="s">
        <v>1733</v>
      </c>
    </row>
    <row r="136" spans="1:18" x14ac:dyDescent="0.25">
      <c r="A136" s="2">
        <v>8</v>
      </c>
      <c r="B136" s="3" t="s">
        <v>281</v>
      </c>
      <c r="C136" s="46" t="s">
        <v>1711</v>
      </c>
      <c r="D136" s="55">
        <v>45707</v>
      </c>
      <c r="E136" s="5" t="s">
        <v>1754</v>
      </c>
      <c r="F136" s="6"/>
      <c r="G136" s="7">
        <v>4.8013000000000003</v>
      </c>
      <c r="H136" s="2">
        <v>3000</v>
      </c>
      <c r="I136" s="61">
        <f t="shared" si="2"/>
        <v>14403.900000000001</v>
      </c>
      <c r="J136" s="8" t="s">
        <v>64</v>
      </c>
      <c r="K136" s="19">
        <v>3000</v>
      </c>
      <c r="L136" s="10">
        <v>3000</v>
      </c>
      <c r="M136" s="11">
        <v>14403.9</v>
      </c>
      <c r="N136" s="6" t="s">
        <v>282</v>
      </c>
      <c r="O136" s="12"/>
      <c r="P136" s="6">
        <v>2</v>
      </c>
      <c r="Q136" s="6" t="s">
        <v>269</v>
      </c>
      <c r="R136" s="53" t="s">
        <v>1733</v>
      </c>
    </row>
    <row r="137" spans="1:18" x14ac:dyDescent="0.25">
      <c r="A137" s="2">
        <v>9</v>
      </c>
      <c r="B137" s="3" t="s">
        <v>283</v>
      </c>
      <c r="C137" s="46" t="s">
        <v>1711</v>
      </c>
      <c r="D137" s="55">
        <v>45707</v>
      </c>
      <c r="E137" s="5" t="s">
        <v>284</v>
      </c>
      <c r="F137" s="6"/>
      <c r="G137" s="7">
        <v>4.8013000000000003</v>
      </c>
      <c r="H137" s="2">
        <v>40000</v>
      </c>
      <c r="I137" s="61">
        <f t="shared" si="2"/>
        <v>192052</v>
      </c>
      <c r="J137" s="8" t="s">
        <v>64</v>
      </c>
      <c r="K137" s="19">
        <v>40000</v>
      </c>
      <c r="L137" s="10">
        <v>40000</v>
      </c>
      <c r="M137" s="11">
        <v>192052</v>
      </c>
      <c r="N137" s="6"/>
      <c r="O137" s="12"/>
      <c r="P137" s="6">
        <v>2</v>
      </c>
      <c r="Q137" s="6" t="s">
        <v>269</v>
      </c>
      <c r="R137" s="53" t="s">
        <v>1733</v>
      </c>
    </row>
    <row r="138" spans="1:18" x14ac:dyDescent="0.25">
      <c r="A138" s="2">
        <v>10</v>
      </c>
      <c r="B138" s="16" t="s">
        <v>285</v>
      </c>
      <c r="C138" s="50" t="s">
        <v>1711</v>
      </c>
      <c r="D138" s="55">
        <v>45707</v>
      </c>
      <c r="E138" s="17" t="s">
        <v>1755</v>
      </c>
      <c r="F138" s="6"/>
      <c r="G138" s="7">
        <v>4.8013000000000003</v>
      </c>
      <c r="H138" s="2">
        <v>10000</v>
      </c>
      <c r="I138" s="61">
        <f t="shared" si="2"/>
        <v>48013</v>
      </c>
      <c r="J138" s="8" t="s">
        <v>64</v>
      </c>
      <c r="K138" s="19">
        <v>10000</v>
      </c>
      <c r="L138" s="10">
        <v>10000</v>
      </c>
      <c r="M138" s="11">
        <v>48013</v>
      </c>
      <c r="N138" s="6"/>
      <c r="O138" s="12"/>
      <c r="P138" s="6">
        <v>2</v>
      </c>
      <c r="Q138" s="6" t="s">
        <v>269</v>
      </c>
      <c r="R138" s="53" t="s">
        <v>1733</v>
      </c>
    </row>
    <row r="139" spans="1:18" x14ac:dyDescent="0.25">
      <c r="A139" s="2">
        <v>11</v>
      </c>
      <c r="B139" s="16" t="s">
        <v>286</v>
      </c>
      <c r="C139" s="50" t="s">
        <v>72</v>
      </c>
      <c r="D139" s="55">
        <v>45707</v>
      </c>
      <c r="E139" s="17" t="s">
        <v>287</v>
      </c>
      <c r="F139" s="6"/>
      <c r="G139" s="7">
        <v>4.8013000000000003</v>
      </c>
      <c r="H139" s="2">
        <v>0</v>
      </c>
      <c r="I139" s="61" t="str">
        <f t="shared" si="2"/>
        <v/>
      </c>
      <c r="J139" s="8" t="s">
        <v>288</v>
      </c>
      <c r="K139" s="9">
        <v>0</v>
      </c>
      <c r="L139" s="10">
        <v>0</v>
      </c>
      <c r="M139" s="11">
        <v>180450</v>
      </c>
      <c r="N139" s="6" t="s">
        <v>1756</v>
      </c>
      <c r="O139" s="12"/>
      <c r="P139" s="6">
        <v>2</v>
      </c>
      <c r="Q139" s="6" t="s">
        <v>269</v>
      </c>
      <c r="R139" s="53" t="s">
        <v>1733</v>
      </c>
    </row>
    <row r="140" spans="1:18" x14ac:dyDescent="0.25">
      <c r="A140" s="2">
        <v>12</v>
      </c>
      <c r="B140" s="3" t="s">
        <v>289</v>
      </c>
      <c r="C140" s="46" t="s">
        <v>1711</v>
      </c>
      <c r="D140" s="55">
        <v>45707</v>
      </c>
      <c r="E140" s="5" t="s">
        <v>32</v>
      </c>
      <c r="F140" s="6"/>
      <c r="G140" s="7">
        <v>4.8013000000000003</v>
      </c>
      <c r="H140" s="2">
        <v>20000</v>
      </c>
      <c r="I140" s="61">
        <f t="shared" si="2"/>
        <v>96026</v>
      </c>
      <c r="J140" s="8" t="s">
        <v>64</v>
      </c>
      <c r="K140" s="19">
        <v>20000</v>
      </c>
      <c r="L140" s="10">
        <v>20000</v>
      </c>
      <c r="M140" s="11">
        <v>96026</v>
      </c>
      <c r="N140" s="6"/>
      <c r="O140" s="12"/>
      <c r="P140" s="6">
        <v>2</v>
      </c>
      <c r="Q140" s="6" t="s">
        <v>269</v>
      </c>
      <c r="R140" s="53" t="s">
        <v>1733</v>
      </c>
    </row>
    <row r="141" spans="1:18" x14ac:dyDescent="0.25">
      <c r="A141" s="2">
        <v>13</v>
      </c>
      <c r="B141" s="3" t="s">
        <v>290</v>
      </c>
      <c r="C141" s="46" t="s">
        <v>1713</v>
      </c>
      <c r="D141" s="55">
        <v>45707</v>
      </c>
      <c r="E141" s="5" t="s">
        <v>291</v>
      </c>
      <c r="F141" s="6"/>
      <c r="G141" s="7">
        <v>4.8013000000000003</v>
      </c>
      <c r="H141" s="2">
        <v>5500</v>
      </c>
      <c r="I141" s="61">
        <f t="shared" si="2"/>
        <v>26407.15</v>
      </c>
      <c r="J141" s="8" t="s">
        <v>101</v>
      </c>
      <c r="K141" s="19">
        <v>15000</v>
      </c>
      <c r="L141" s="10">
        <v>15000</v>
      </c>
      <c r="M141" s="11">
        <v>72019.5</v>
      </c>
      <c r="N141" s="6"/>
      <c r="O141" s="12"/>
      <c r="P141" s="6">
        <v>2</v>
      </c>
      <c r="Q141" s="6" t="s">
        <v>269</v>
      </c>
      <c r="R141" s="53" t="s">
        <v>1733</v>
      </c>
    </row>
    <row r="142" spans="1:18" ht="25.5" x14ac:dyDescent="0.25">
      <c r="A142" s="2">
        <v>14</v>
      </c>
      <c r="B142" s="16" t="s">
        <v>292</v>
      </c>
      <c r="C142" s="50" t="s">
        <v>72</v>
      </c>
      <c r="D142" s="55">
        <v>45707</v>
      </c>
      <c r="E142" s="17" t="s">
        <v>293</v>
      </c>
      <c r="F142" s="6"/>
      <c r="G142" s="7">
        <v>4.8013000000000003</v>
      </c>
      <c r="H142" s="2">
        <v>25000</v>
      </c>
      <c r="I142" s="61">
        <f t="shared" si="2"/>
        <v>120032.50000000001</v>
      </c>
      <c r="J142" s="8" t="s">
        <v>122</v>
      </c>
      <c r="K142" s="19">
        <v>25000</v>
      </c>
      <c r="L142" s="10">
        <v>0</v>
      </c>
      <c r="M142" s="11">
        <v>0</v>
      </c>
      <c r="N142" s="6" t="s">
        <v>294</v>
      </c>
      <c r="O142" s="12"/>
      <c r="P142" s="6">
        <v>2</v>
      </c>
      <c r="Q142" s="6" t="s">
        <v>269</v>
      </c>
      <c r="R142" s="53" t="s">
        <v>1733</v>
      </c>
    </row>
    <row r="143" spans="1:18" x14ac:dyDescent="0.25">
      <c r="A143" s="2">
        <v>15</v>
      </c>
      <c r="B143" s="16" t="s">
        <v>295</v>
      </c>
      <c r="C143" s="50" t="s">
        <v>1713</v>
      </c>
      <c r="D143" s="55">
        <v>45707</v>
      </c>
      <c r="E143" s="17" t="s">
        <v>296</v>
      </c>
      <c r="F143" s="6"/>
      <c r="G143" s="7">
        <v>4.8013000000000003</v>
      </c>
      <c r="H143" s="2">
        <v>1000</v>
      </c>
      <c r="I143" s="61">
        <f t="shared" si="2"/>
        <v>4801.3</v>
      </c>
      <c r="J143" s="8" t="s">
        <v>101</v>
      </c>
      <c r="K143" s="19">
        <v>10000</v>
      </c>
      <c r="L143" s="10">
        <v>10000</v>
      </c>
      <c r="M143" s="11">
        <v>48013</v>
      </c>
      <c r="N143" s="6"/>
      <c r="O143" s="12"/>
      <c r="P143" s="6">
        <v>2</v>
      </c>
      <c r="Q143" s="6" t="s">
        <v>269</v>
      </c>
      <c r="R143" s="53" t="s">
        <v>1733</v>
      </c>
    </row>
    <row r="144" spans="1:18" x14ac:dyDescent="0.25">
      <c r="A144" s="2">
        <v>16</v>
      </c>
      <c r="B144" s="16" t="s">
        <v>297</v>
      </c>
      <c r="C144" s="50" t="s">
        <v>1713</v>
      </c>
      <c r="D144" s="55">
        <v>45707</v>
      </c>
      <c r="E144" s="17" t="s">
        <v>298</v>
      </c>
      <c r="F144" s="6"/>
      <c r="G144" s="7">
        <v>4.8013000000000003</v>
      </c>
      <c r="H144" s="2">
        <v>500</v>
      </c>
      <c r="I144" s="61">
        <f t="shared" si="2"/>
        <v>2400.65</v>
      </c>
      <c r="J144" s="8" t="s">
        <v>101</v>
      </c>
      <c r="K144" s="19">
        <v>500</v>
      </c>
      <c r="L144" s="10">
        <v>5000</v>
      </c>
      <c r="M144" s="11">
        <v>24006.5</v>
      </c>
      <c r="N144" s="6" t="s">
        <v>299</v>
      </c>
      <c r="O144" s="12"/>
      <c r="P144" s="6">
        <v>2</v>
      </c>
      <c r="Q144" s="6" t="s">
        <v>269</v>
      </c>
      <c r="R144" s="53" t="s">
        <v>1733</v>
      </c>
    </row>
    <row r="145" spans="1:18" x14ac:dyDescent="0.25">
      <c r="A145" s="2">
        <v>17</v>
      </c>
      <c r="B145" s="16" t="s">
        <v>300</v>
      </c>
      <c r="C145" s="50" t="s">
        <v>1712</v>
      </c>
      <c r="D145" s="55">
        <v>45707</v>
      </c>
      <c r="E145" s="17" t="s">
        <v>301</v>
      </c>
      <c r="F145" s="6"/>
      <c r="G145" s="7">
        <v>4.8013000000000003</v>
      </c>
      <c r="H145" s="2">
        <v>0</v>
      </c>
      <c r="I145" s="61" t="str">
        <f t="shared" si="2"/>
        <v/>
      </c>
      <c r="J145" s="8" t="s">
        <v>69</v>
      </c>
      <c r="K145" s="19">
        <v>2004200</v>
      </c>
      <c r="L145" s="10">
        <v>2004200</v>
      </c>
      <c r="M145" s="11">
        <v>5010500</v>
      </c>
      <c r="N145" s="6"/>
      <c r="O145" s="12"/>
      <c r="P145" s="6">
        <v>2</v>
      </c>
      <c r="Q145" s="6" t="s">
        <v>269</v>
      </c>
      <c r="R145" s="53" t="s">
        <v>1733</v>
      </c>
    </row>
    <row r="146" spans="1:18" x14ac:dyDescent="0.25">
      <c r="A146" s="2">
        <v>18</v>
      </c>
      <c r="B146" s="3" t="s">
        <v>302</v>
      </c>
      <c r="C146" s="46" t="s">
        <v>1712</v>
      </c>
      <c r="D146" s="55">
        <v>45707</v>
      </c>
      <c r="E146" s="5" t="s">
        <v>303</v>
      </c>
      <c r="F146" s="6"/>
      <c r="G146" s="7">
        <v>4.8013000000000003</v>
      </c>
      <c r="H146" s="2">
        <v>20000</v>
      </c>
      <c r="I146" s="61">
        <f t="shared" si="2"/>
        <v>96026</v>
      </c>
      <c r="J146" s="8" t="s">
        <v>69</v>
      </c>
      <c r="K146" s="19">
        <v>13538</v>
      </c>
      <c r="L146" s="10">
        <v>13538</v>
      </c>
      <c r="M146" s="11">
        <v>64999.999400000001</v>
      </c>
      <c r="N146" s="6" t="s">
        <v>304</v>
      </c>
      <c r="O146" s="12"/>
      <c r="P146" s="6">
        <v>2</v>
      </c>
      <c r="Q146" s="6" t="s">
        <v>269</v>
      </c>
      <c r="R146" s="53" t="s">
        <v>1733</v>
      </c>
    </row>
    <row r="147" spans="1:18" x14ac:dyDescent="0.25">
      <c r="A147" s="2">
        <v>19</v>
      </c>
      <c r="B147" s="3" t="s">
        <v>305</v>
      </c>
      <c r="C147" s="46" t="s">
        <v>1712</v>
      </c>
      <c r="D147" s="55">
        <v>45707</v>
      </c>
      <c r="E147" s="5" t="s">
        <v>306</v>
      </c>
      <c r="F147" s="6"/>
      <c r="G147" s="7">
        <v>4.8013000000000003</v>
      </c>
      <c r="H147" s="2">
        <v>7501</v>
      </c>
      <c r="I147" s="61">
        <f t="shared" si="2"/>
        <v>36014.551299999999</v>
      </c>
      <c r="J147" s="8" t="s">
        <v>69</v>
      </c>
      <c r="K147" s="19">
        <v>1100</v>
      </c>
      <c r="L147" s="10">
        <v>1100</v>
      </c>
      <c r="M147" s="11">
        <v>5281.43</v>
      </c>
      <c r="N147" s="6"/>
      <c r="O147" s="12"/>
      <c r="P147" s="6">
        <v>2</v>
      </c>
      <c r="Q147" s="6" t="s">
        <v>269</v>
      </c>
      <c r="R147" s="53" t="s">
        <v>1733</v>
      </c>
    </row>
    <row r="148" spans="1:18" x14ac:dyDescent="0.25">
      <c r="A148" s="2">
        <v>20</v>
      </c>
      <c r="B148" s="3" t="s">
        <v>307</v>
      </c>
      <c r="C148" s="46" t="s">
        <v>1711</v>
      </c>
      <c r="D148" s="55">
        <v>45707</v>
      </c>
      <c r="E148" s="5" t="s">
        <v>308</v>
      </c>
      <c r="F148" s="6"/>
      <c r="G148" s="7">
        <v>4.8013000000000003</v>
      </c>
      <c r="H148" s="2">
        <v>2000</v>
      </c>
      <c r="I148" s="61">
        <f t="shared" si="2"/>
        <v>9602.6</v>
      </c>
      <c r="J148" s="8" t="s">
        <v>64</v>
      </c>
      <c r="K148" s="19">
        <v>2000</v>
      </c>
      <c r="L148" s="10">
        <v>2000</v>
      </c>
      <c r="M148" s="11">
        <v>9602.6</v>
      </c>
      <c r="N148" s="6" t="s">
        <v>309</v>
      </c>
      <c r="O148" s="12"/>
      <c r="P148" s="6">
        <v>2</v>
      </c>
      <c r="Q148" s="6" t="s">
        <v>269</v>
      </c>
      <c r="R148" s="53" t="s">
        <v>1733</v>
      </c>
    </row>
    <row r="149" spans="1:18" x14ac:dyDescent="0.25">
      <c r="A149" s="13">
        <v>1</v>
      </c>
      <c r="B149" s="3" t="s">
        <v>310</v>
      </c>
      <c r="C149" s="46" t="s">
        <v>1711</v>
      </c>
      <c r="D149" s="55">
        <v>45687</v>
      </c>
      <c r="E149" s="5" t="s">
        <v>30</v>
      </c>
      <c r="F149" s="14"/>
      <c r="G149" s="7">
        <v>4.8013000000000003</v>
      </c>
      <c r="H149" s="13">
        <v>7500</v>
      </c>
      <c r="I149" s="61">
        <f t="shared" si="2"/>
        <v>36009.75</v>
      </c>
      <c r="J149" s="20" t="s">
        <v>64</v>
      </c>
      <c r="K149" s="28">
        <v>7500</v>
      </c>
      <c r="L149" s="21">
        <v>0</v>
      </c>
      <c r="M149" s="15">
        <v>0</v>
      </c>
      <c r="N149" s="6"/>
      <c r="O149" s="12"/>
      <c r="P149" s="6">
        <v>1</v>
      </c>
      <c r="Q149" s="6" t="s">
        <v>311</v>
      </c>
      <c r="R149" s="53" t="s">
        <v>1733</v>
      </c>
    </row>
    <row r="150" spans="1:18" x14ac:dyDescent="0.25">
      <c r="A150" s="2">
        <v>2</v>
      </c>
      <c r="B150" s="16" t="s">
        <v>312</v>
      </c>
      <c r="C150" s="50" t="s">
        <v>234</v>
      </c>
      <c r="D150" s="55">
        <v>45687</v>
      </c>
      <c r="E150" s="31" t="s">
        <v>313</v>
      </c>
      <c r="F150" s="6"/>
      <c r="G150" s="7">
        <v>4.8013000000000003</v>
      </c>
      <c r="H150" s="2">
        <v>2000</v>
      </c>
      <c r="I150" s="61">
        <f t="shared" si="2"/>
        <v>9602.6</v>
      </c>
      <c r="J150" s="8" t="s">
        <v>234</v>
      </c>
      <c r="K150" s="9"/>
      <c r="L150" s="21">
        <v>0</v>
      </c>
      <c r="M150" s="11">
        <v>0</v>
      </c>
      <c r="N150" s="6"/>
      <c r="O150" s="12"/>
      <c r="P150" s="6">
        <v>1</v>
      </c>
      <c r="Q150" s="6" t="s">
        <v>311</v>
      </c>
      <c r="R150" s="53" t="s">
        <v>1733</v>
      </c>
    </row>
    <row r="151" spans="1:18" x14ac:dyDescent="0.25">
      <c r="A151" s="2">
        <v>3</v>
      </c>
      <c r="B151" s="16" t="s">
        <v>314</v>
      </c>
      <c r="C151" s="50" t="s">
        <v>1711</v>
      </c>
      <c r="D151" s="55">
        <v>45687</v>
      </c>
      <c r="E151" s="17" t="s">
        <v>293</v>
      </c>
      <c r="F151" s="6"/>
      <c r="G151" s="7">
        <v>4.8013000000000003</v>
      </c>
      <c r="H151" s="2">
        <v>50000</v>
      </c>
      <c r="I151" s="61">
        <f t="shared" si="2"/>
        <v>240065.00000000003</v>
      </c>
      <c r="J151" s="8" t="s">
        <v>64</v>
      </c>
      <c r="K151" s="19">
        <v>50000</v>
      </c>
      <c r="L151" s="21">
        <v>0</v>
      </c>
      <c r="M151" s="11">
        <v>0</v>
      </c>
      <c r="N151" s="6"/>
      <c r="O151" s="12"/>
      <c r="P151" s="6">
        <v>1</v>
      </c>
      <c r="Q151" s="6" t="s">
        <v>311</v>
      </c>
      <c r="R151" s="53" t="s">
        <v>1733</v>
      </c>
    </row>
    <row r="152" spans="1:18" x14ac:dyDescent="0.25">
      <c r="A152" s="2">
        <v>4</v>
      </c>
      <c r="B152" s="16" t="s">
        <v>315</v>
      </c>
      <c r="C152" s="50" t="s">
        <v>1711</v>
      </c>
      <c r="D152" s="55">
        <v>45687</v>
      </c>
      <c r="E152" s="17" t="s">
        <v>293</v>
      </c>
      <c r="F152" s="6"/>
      <c r="G152" s="7">
        <v>4.8013000000000003</v>
      </c>
      <c r="H152" s="2">
        <v>7000</v>
      </c>
      <c r="I152" s="61">
        <f t="shared" si="2"/>
        <v>33609.100000000006</v>
      </c>
      <c r="J152" s="8" t="s">
        <v>64</v>
      </c>
      <c r="K152" s="19">
        <v>7000</v>
      </c>
      <c r="L152" s="21">
        <v>0</v>
      </c>
      <c r="M152" s="11">
        <v>0</v>
      </c>
      <c r="N152" s="6"/>
      <c r="O152" s="12"/>
      <c r="P152" s="6">
        <v>1</v>
      </c>
      <c r="Q152" s="6" t="s">
        <v>311</v>
      </c>
      <c r="R152" s="53" t="s">
        <v>1733</v>
      </c>
    </row>
    <row r="153" spans="1:18" x14ac:dyDescent="0.25">
      <c r="A153" s="2">
        <v>5</v>
      </c>
      <c r="B153" s="3" t="s">
        <v>316</v>
      </c>
      <c r="C153" s="46" t="s">
        <v>1711</v>
      </c>
      <c r="D153" s="55">
        <v>45687</v>
      </c>
      <c r="E153" s="5" t="s">
        <v>317</v>
      </c>
      <c r="F153" s="6"/>
      <c r="G153" s="7">
        <v>4.8013000000000003</v>
      </c>
      <c r="H153" s="2">
        <v>10000</v>
      </c>
      <c r="I153" s="61">
        <f t="shared" si="2"/>
        <v>48013</v>
      </c>
      <c r="J153" s="8" t="s">
        <v>64</v>
      </c>
      <c r="K153" s="19">
        <v>10000</v>
      </c>
      <c r="L153" s="21">
        <v>0</v>
      </c>
      <c r="M153" s="11">
        <v>0</v>
      </c>
      <c r="N153" s="6"/>
      <c r="O153" s="12"/>
      <c r="P153" s="6">
        <v>1</v>
      </c>
      <c r="Q153" s="6" t="s">
        <v>311</v>
      </c>
      <c r="R153" s="53" t="s">
        <v>1733</v>
      </c>
    </row>
    <row r="154" spans="1:18" x14ac:dyDescent="0.25">
      <c r="A154" s="2">
        <v>6</v>
      </c>
      <c r="B154" s="3" t="s">
        <v>318</v>
      </c>
      <c r="C154" s="46" t="s">
        <v>1711</v>
      </c>
      <c r="D154" s="55">
        <v>45687</v>
      </c>
      <c r="E154" s="5" t="s">
        <v>319</v>
      </c>
      <c r="F154" s="6"/>
      <c r="G154" s="7">
        <v>4.8013000000000003</v>
      </c>
      <c r="H154" s="2">
        <v>3000</v>
      </c>
      <c r="I154" s="61">
        <f t="shared" si="2"/>
        <v>14403.900000000001</v>
      </c>
      <c r="J154" s="8" t="s">
        <v>64</v>
      </c>
      <c r="K154" s="19">
        <v>3000</v>
      </c>
      <c r="L154" s="21">
        <v>0</v>
      </c>
      <c r="M154" s="11">
        <v>0</v>
      </c>
      <c r="N154" s="6"/>
      <c r="O154" s="12"/>
      <c r="P154" s="6">
        <v>1</v>
      </c>
      <c r="Q154" s="6" t="s">
        <v>311</v>
      </c>
      <c r="R154" s="53" t="s">
        <v>1733</v>
      </c>
    </row>
    <row r="155" spans="1:18" x14ac:dyDescent="0.25">
      <c r="A155" s="2">
        <v>7</v>
      </c>
      <c r="B155" s="16" t="s">
        <v>320</v>
      </c>
      <c r="C155" s="50" t="s">
        <v>1711</v>
      </c>
      <c r="D155" s="55">
        <v>45687</v>
      </c>
      <c r="E155" s="17" t="s">
        <v>321</v>
      </c>
      <c r="F155" s="6"/>
      <c r="G155" s="7">
        <v>4.8013000000000003</v>
      </c>
      <c r="H155" s="2">
        <v>9800</v>
      </c>
      <c r="I155" s="61">
        <f t="shared" si="2"/>
        <v>47052.740000000005</v>
      </c>
      <c r="J155" s="8" t="s">
        <v>64</v>
      </c>
      <c r="K155" s="19">
        <v>9800</v>
      </c>
      <c r="L155" s="21">
        <v>0</v>
      </c>
      <c r="M155" s="11">
        <v>0</v>
      </c>
      <c r="N155" s="6"/>
      <c r="O155" s="12"/>
      <c r="P155" s="6">
        <v>1</v>
      </c>
      <c r="Q155" s="6" t="s">
        <v>311</v>
      </c>
      <c r="R155" s="53" t="s">
        <v>1733</v>
      </c>
    </row>
    <row r="156" spans="1:18" x14ac:dyDescent="0.25">
      <c r="A156" s="2">
        <v>8</v>
      </c>
      <c r="B156" s="3" t="s">
        <v>322</v>
      </c>
      <c r="C156" s="46" t="s">
        <v>1711</v>
      </c>
      <c r="D156" s="55">
        <v>45687</v>
      </c>
      <c r="E156" s="5" t="s">
        <v>323</v>
      </c>
      <c r="F156" s="6"/>
      <c r="G156" s="7">
        <v>4.8013000000000003</v>
      </c>
      <c r="H156" s="2">
        <v>20000</v>
      </c>
      <c r="I156" s="61">
        <f t="shared" si="2"/>
        <v>96026</v>
      </c>
      <c r="J156" s="8" t="s">
        <v>64</v>
      </c>
      <c r="K156" s="19">
        <v>20000</v>
      </c>
      <c r="L156" s="21">
        <v>0</v>
      </c>
      <c r="M156" s="11">
        <v>0</v>
      </c>
      <c r="N156" s="6"/>
      <c r="O156" s="12"/>
      <c r="P156" s="6">
        <v>1</v>
      </c>
      <c r="Q156" s="6" t="s">
        <v>311</v>
      </c>
      <c r="R156" s="53" t="s">
        <v>1733</v>
      </c>
    </row>
    <row r="157" spans="1:18" x14ac:dyDescent="0.25">
      <c r="A157" s="2">
        <v>9</v>
      </c>
      <c r="B157" s="3" t="s">
        <v>324</v>
      </c>
      <c r="C157" s="46" t="s">
        <v>1711</v>
      </c>
      <c r="D157" s="55">
        <v>45687</v>
      </c>
      <c r="E157" s="5" t="s">
        <v>325</v>
      </c>
      <c r="F157" s="6"/>
      <c r="G157" s="7">
        <v>4.8013000000000003</v>
      </c>
      <c r="H157" s="2">
        <v>5000</v>
      </c>
      <c r="I157" s="61">
        <f t="shared" si="2"/>
        <v>24006.5</v>
      </c>
      <c r="J157" s="8" t="s">
        <v>64</v>
      </c>
      <c r="K157" s="19">
        <v>5000</v>
      </c>
      <c r="L157" s="21">
        <v>0</v>
      </c>
      <c r="M157" s="11">
        <v>0</v>
      </c>
      <c r="N157" s="6" t="s">
        <v>326</v>
      </c>
      <c r="O157" s="12"/>
      <c r="P157" s="6">
        <v>1</v>
      </c>
      <c r="Q157" s="6" t="s">
        <v>311</v>
      </c>
      <c r="R157" s="53" t="s">
        <v>1733</v>
      </c>
    </row>
    <row r="158" spans="1:18" x14ac:dyDescent="0.25">
      <c r="A158" s="2">
        <v>10</v>
      </c>
      <c r="B158" s="3" t="s">
        <v>327</v>
      </c>
      <c r="C158" s="46" t="s">
        <v>722</v>
      </c>
      <c r="D158" s="55">
        <v>45687</v>
      </c>
      <c r="E158" s="5" t="s">
        <v>328</v>
      </c>
      <c r="F158" s="6"/>
      <c r="G158" s="7">
        <v>4.8013000000000003</v>
      </c>
      <c r="H158" s="2">
        <v>50001</v>
      </c>
      <c r="I158" s="61">
        <f t="shared" si="2"/>
        <v>240069.80130000002</v>
      </c>
      <c r="J158" s="8" t="s">
        <v>77</v>
      </c>
      <c r="K158" s="9">
        <v>0</v>
      </c>
      <c r="L158" s="21">
        <v>0</v>
      </c>
      <c r="M158" s="11">
        <v>0</v>
      </c>
      <c r="N158" s="6" t="s">
        <v>329</v>
      </c>
      <c r="O158" s="12"/>
      <c r="P158" s="6">
        <v>1</v>
      </c>
      <c r="Q158" s="6" t="s">
        <v>311</v>
      </c>
      <c r="R158" s="53" t="s">
        <v>1733</v>
      </c>
    </row>
    <row r="159" spans="1:18" x14ac:dyDescent="0.25">
      <c r="A159" s="2">
        <v>11</v>
      </c>
      <c r="B159" s="3" t="s">
        <v>330</v>
      </c>
      <c r="C159" s="46" t="s">
        <v>1711</v>
      </c>
      <c r="D159" s="55">
        <v>45687</v>
      </c>
      <c r="E159" s="5" t="s">
        <v>331</v>
      </c>
      <c r="F159" s="6"/>
      <c r="G159" s="7">
        <v>4.8013000000000003</v>
      </c>
      <c r="H159" s="2">
        <v>10000</v>
      </c>
      <c r="I159" s="61">
        <f t="shared" si="2"/>
        <v>48013</v>
      </c>
      <c r="J159" s="8" t="s">
        <v>64</v>
      </c>
      <c r="K159" s="19">
        <v>10000</v>
      </c>
      <c r="L159" s="21">
        <v>0</v>
      </c>
      <c r="M159" s="11">
        <v>0</v>
      </c>
      <c r="N159" s="6"/>
      <c r="O159" s="12"/>
      <c r="P159" s="6">
        <v>1</v>
      </c>
      <c r="Q159" s="6" t="s">
        <v>311</v>
      </c>
      <c r="R159" s="53" t="s">
        <v>1733</v>
      </c>
    </row>
    <row r="160" spans="1:18" x14ac:dyDescent="0.25">
      <c r="A160" s="2">
        <v>12</v>
      </c>
      <c r="B160" s="3" t="s">
        <v>332</v>
      </c>
      <c r="C160" s="46" t="s">
        <v>1711</v>
      </c>
      <c r="D160" s="55">
        <v>45687</v>
      </c>
      <c r="E160" s="5" t="s">
        <v>333</v>
      </c>
      <c r="F160" s="6"/>
      <c r="G160" s="7">
        <v>4.8013000000000003</v>
      </c>
      <c r="H160" s="2">
        <v>5000</v>
      </c>
      <c r="I160" s="61">
        <f t="shared" si="2"/>
        <v>24006.5</v>
      </c>
      <c r="J160" s="8" t="s">
        <v>64</v>
      </c>
      <c r="K160" s="19">
        <v>5000</v>
      </c>
      <c r="L160" s="21">
        <v>0</v>
      </c>
      <c r="M160" s="11">
        <v>0</v>
      </c>
      <c r="N160" s="6"/>
      <c r="O160" s="12"/>
      <c r="P160" s="6">
        <v>1</v>
      </c>
      <c r="Q160" s="6" t="s">
        <v>311</v>
      </c>
      <c r="R160" s="53" t="s">
        <v>1733</v>
      </c>
    </row>
    <row r="161" spans="1:18" x14ac:dyDescent="0.25">
      <c r="A161" s="2">
        <v>13</v>
      </c>
      <c r="B161" s="3" t="s">
        <v>334</v>
      </c>
      <c r="C161" s="46" t="s">
        <v>1711</v>
      </c>
      <c r="D161" s="55">
        <v>45687</v>
      </c>
      <c r="E161" s="5" t="s">
        <v>335</v>
      </c>
      <c r="F161" s="6"/>
      <c r="G161" s="7">
        <v>4.8013000000000003</v>
      </c>
      <c r="H161" s="2">
        <v>50001</v>
      </c>
      <c r="I161" s="61">
        <f t="shared" si="2"/>
        <v>240069.80130000002</v>
      </c>
      <c r="J161" s="8" t="s">
        <v>64</v>
      </c>
      <c r="K161" s="19">
        <v>50001</v>
      </c>
      <c r="L161" s="21">
        <v>0</v>
      </c>
      <c r="M161" s="11">
        <v>0</v>
      </c>
      <c r="N161" s="6"/>
      <c r="O161" s="12"/>
      <c r="P161" s="6">
        <v>1</v>
      </c>
      <c r="Q161" s="6" t="s">
        <v>311</v>
      </c>
      <c r="R161" s="53" t="s">
        <v>1733</v>
      </c>
    </row>
    <row r="162" spans="1:18" x14ac:dyDescent="0.25">
      <c r="A162" s="2">
        <v>14</v>
      </c>
      <c r="B162" s="3" t="s">
        <v>336</v>
      </c>
      <c r="C162" s="46" t="s">
        <v>1711</v>
      </c>
      <c r="D162" s="55">
        <v>45687</v>
      </c>
      <c r="E162" s="5" t="s">
        <v>140</v>
      </c>
      <c r="F162" s="6"/>
      <c r="G162" s="7">
        <v>4.8013000000000003</v>
      </c>
      <c r="H162" s="2">
        <v>11000</v>
      </c>
      <c r="I162" s="61">
        <f t="shared" si="2"/>
        <v>52814.3</v>
      </c>
      <c r="J162" s="8" t="s">
        <v>64</v>
      </c>
      <c r="K162" s="19">
        <v>11000</v>
      </c>
      <c r="L162" s="21">
        <v>0</v>
      </c>
      <c r="M162" s="11">
        <v>0</v>
      </c>
      <c r="N162" s="6" t="s">
        <v>337</v>
      </c>
      <c r="O162" s="12"/>
      <c r="P162" s="6">
        <v>1</v>
      </c>
      <c r="Q162" s="6" t="s">
        <v>311</v>
      </c>
      <c r="R162" s="53" t="s">
        <v>1733</v>
      </c>
    </row>
    <row r="163" spans="1:18" ht="25.5" x14ac:dyDescent="0.25">
      <c r="A163" s="2">
        <v>15</v>
      </c>
      <c r="B163" s="16" t="s">
        <v>338</v>
      </c>
      <c r="C163" s="50" t="s">
        <v>72</v>
      </c>
      <c r="D163" s="55">
        <v>45687</v>
      </c>
      <c r="E163" s="17" t="s">
        <v>339</v>
      </c>
      <c r="F163" s="6"/>
      <c r="G163" s="7">
        <v>4.8013000000000003</v>
      </c>
      <c r="H163" s="2">
        <v>7501</v>
      </c>
      <c r="I163" s="61">
        <f t="shared" si="2"/>
        <v>36014.551299999999</v>
      </c>
      <c r="J163" s="8" t="s">
        <v>122</v>
      </c>
      <c r="K163" s="9">
        <v>0</v>
      </c>
      <c r="L163" s="21">
        <v>0</v>
      </c>
      <c r="M163" s="11">
        <v>0</v>
      </c>
      <c r="N163" s="6" t="s">
        <v>340</v>
      </c>
      <c r="O163" s="12"/>
      <c r="P163" s="6">
        <v>1</v>
      </c>
      <c r="Q163" s="6" t="s">
        <v>311</v>
      </c>
      <c r="R163" s="53" t="s">
        <v>1733</v>
      </c>
    </row>
    <row r="164" spans="1:18" x14ac:dyDescent="0.25">
      <c r="A164" s="2">
        <v>16</v>
      </c>
      <c r="B164" s="3" t="s">
        <v>341</v>
      </c>
      <c r="C164" s="46" t="s">
        <v>722</v>
      </c>
      <c r="D164" s="55">
        <v>45687</v>
      </c>
      <c r="E164" s="5" t="s">
        <v>342</v>
      </c>
      <c r="F164" s="6"/>
      <c r="G164" s="7">
        <v>4.8013000000000003</v>
      </c>
      <c r="H164" s="2">
        <v>11400</v>
      </c>
      <c r="I164" s="61">
        <f t="shared" si="2"/>
        <v>54734.820000000007</v>
      </c>
      <c r="J164" s="8" t="s">
        <v>77</v>
      </c>
      <c r="K164" s="9">
        <v>0</v>
      </c>
      <c r="L164" s="21">
        <v>0</v>
      </c>
      <c r="M164" s="11">
        <v>0</v>
      </c>
      <c r="N164" s="6" t="s">
        <v>343</v>
      </c>
      <c r="O164" s="12"/>
      <c r="P164" s="6">
        <v>1</v>
      </c>
      <c r="Q164" s="6" t="s">
        <v>311</v>
      </c>
      <c r="R164" s="53" t="s">
        <v>1733</v>
      </c>
    </row>
    <row r="165" spans="1:18" x14ac:dyDescent="0.25">
      <c r="A165" s="2">
        <v>17</v>
      </c>
      <c r="B165" s="16" t="s">
        <v>344</v>
      </c>
      <c r="C165" s="50" t="s">
        <v>722</v>
      </c>
      <c r="D165" s="55">
        <v>45687</v>
      </c>
      <c r="E165" s="17" t="s">
        <v>345</v>
      </c>
      <c r="F165" s="6"/>
      <c r="G165" s="7">
        <v>4.8013000000000003</v>
      </c>
      <c r="H165" s="2">
        <v>0</v>
      </c>
      <c r="I165" s="61" t="str">
        <f t="shared" si="2"/>
        <v/>
      </c>
      <c r="J165" s="8" t="s">
        <v>77</v>
      </c>
      <c r="K165" s="9">
        <v>0</v>
      </c>
      <c r="L165" s="21">
        <v>0</v>
      </c>
      <c r="M165" s="11">
        <v>1655000</v>
      </c>
      <c r="N165" s="6" t="s">
        <v>346</v>
      </c>
      <c r="O165" s="12"/>
      <c r="P165" s="6">
        <v>1</v>
      </c>
      <c r="Q165" s="6" t="s">
        <v>311</v>
      </c>
      <c r="R165" s="53" t="s">
        <v>1733</v>
      </c>
    </row>
    <row r="166" spans="1:18" x14ac:dyDescent="0.25">
      <c r="A166" s="2">
        <v>18</v>
      </c>
      <c r="B166" s="3" t="s">
        <v>347</v>
      </c>
      <c r="C166" s="46" t="s">
        <v>1711</v>
      </c>
      <c r="D166" s="55">
        <v>45687</v>
      </c>
      <c r="E166" s="5" t="s">
        <v>348</v>
      </c>
      <c r="F166" s="6"/>
      <c r="G166" s="7">
        <v>4.8013000000000003</v>
      </c>
      <c r="H166" s="2">
        <v>7501</v>
      </c>
      <c r="I166" s="61">
        <f t="shared" si="2"/>
        <v>36014.551299999999</v>
      </c>
      <c r="J166" s="8" t="s">
        <v>64</v>
      </c>
      <c r="K166" s="19">
        <v>7501</v>
      </c>
      <c r="L166" s="21">
        <v>0</v>
      </c>
      <c r="M166" s="11">
        <v>0</v>
      </c>
      <c r="N166" s="6"/>
      <c r="O166" s="12"/>
      <c r="P166" s="6">
        <v>1</v>
      </c>
      <c r="Q166" s="6" t="s">
        <v>311</v>
      </c>
      <c r="R166" s="53" t="s">
        <v>1733</v>
      </c>
    </row>
    <row r="167" spans="1:18" x14ac:dyDescent="0.25">
      <c r="A167" s="2">
        <v>19</v>
      </c>
      <c r="B167" s="3" t="s">
        <v>349</v>
      </c>
      <c r="C167" s="46" t="s">
        <v>1712</v>
      </c>
      <c r="D167" s="55">
        <v>45687</v>
      </c>
      <c r="E167" s="5" t="s">
        <v>350</v>
      </c>
      <c r="F167" s="6"/>
      <c r="G167" s="7">
        <v>4.8013000000000003</v>
      </c>
      <c r="H167" s="2">
        <v>7501</v>
      </c>
      <c r="I167" s="61">
        <f t="shared" si="2"/>
        <v>36014.551299999999</v>
      </c>
      <c r="J167" s="8" t="s">
        <v>69</v>
      </c>
      <c r="K167" s="19">
        <v>600</v>
      </c>
      <c r="L167" s="21">
        <v>0</v>
      </c>
      <c r="M167" s="11">
        <v>0</v>
      </c>
      <c r="N167" s="6" t="s">
        <v>351</v>
      </c>
      <c r="O167" s="12"/>
      <c r="P167" s="6">
        <v>1</v>
      </c>
      <c r="Q167" s="6" t="s">
        <v>311</v>
      </c>
      <c r="R167" s="53" t="s">
        <v>1733</v>
      </c>
    </row>
    <row r="168" spans="1:18" x14ac:dyDescent="0.25">
      <c r="A168" s="2">
        <v>20</v>
      </c>
      <c r="B168" s="3" t="s">
        <v>352</v>
      </c>
      <c r="C168" s="46" t="s">
        <v>1712</v>
      </c>
      <c r="D168" s="55">
        <v>45687</v>
      </c>
      <c r="E168" s="5" t="s">
        <v>353</v>
      </c>
      <c r="F168" s="6"/>
      <c r="G168" s="7">
        <v>4.8013000000000003</v>
      </c>
      <c r="H168" s="2">
        <v>50001</v>
      </c>
      <c r="I168" s="61">
        <f t="shared" si="2"/>
        <v>240069.80130000002</v>
      </c>
      <c r="J168" s="8" t="s">
        <v>69</v>
      </c>
      <c r="K168" s="19">
        <v>0</v>
      </c>
      <c r="L168" s="21">
        <v>0</v>
      </c>
      <c r="M168" s="11">
        <v>0</v>
      </c>
      <c r="N168" s="6" t="s">
        <v>354</v>
      </c>
      <c r="O168" s="12"/>
      <c r="P168" s="6">
        <v>1</v>
      </c>
      <c r="Q168" s="6" t="s">
        <v>311</v>
      </c>
      <c r="R168" s="53" t="s">
        <v>1733</v>
      </c>
    </row>
    <row r="169" spans="1:18" x14ac:dyDescent="0.25">
      <c r="A169" s="2">
        <v>21</v>
      </c>
      <c r="B169" s="16" t="s">
        <v>355</v>
      </c>
      <c r="C169" s="50" t="s">
        <v>1711</v>
      </c>
      <c r="D169" s="55">
        <v>45687</v>
      </c>
      <c r="E169" s="17" t="s">
        <v>356</v>
      </c>
      <c r="F169" s="6"/>
      <c r="G169" s="7">
        <v>4.8013000000000003</v>
      </c>
      <c r="H169" s="2">
        <v>250</v>
      </c>
      <c r="I169" s="61">
        <f t="shared" si="2"/>
        <v>1200.325</v>
      </c>
      <c r="J169" s="8" t="s">
        <v>64</v>
      </c>
      <c r="K169" s="19">
        <v>250</v>
      </c>
      <c r="L169" s="21">
        <v>0</v>
      </c>
      <c r="M169" s="11">
        <v>0</v>
      </c>
      <c r="N169" s="6"/>
      <c r="O169" s="12"/>
      <c r="P169" s="6">
        <v>1</v>
      </c>
      <c r="Q169" s="6" t="s">
        <v>311</v>
      </c>
      <c r="R169" s="53" t="s">
        <v>1733</v>
      </c>
    </row>
    <row r="170" spans="1:18" x14ac:dyDescent="0.25">
      <c r="A170" s="2"/>
      <c r="B170" s="3" t="s">
        <v>357</v>
      </c>
      <c r="C170" s="46" t="s">
        <v>1712</v>
      </c>
      <c r="D170" s="55">
        <v>45666</v>
      </c>
      <c r="E170" s="5" t="s">
        <v>1757</v>
      </c>
      <c r="F170" s="6"/>
      <c r="G170" s="7">
        <v>4.8013000000000003</v>
      </c>
      <c r="H170" s="2">
        <v>50000</v>
      </c>
      <c r="I170" s="61">
        <f t="shared" si="2"/>
        <v>240065.00000000003</v>
      </c>
      <c r="J170" s="8" t="s">
        <v>69</v>
      </c>
      <c r="K170" s="9"/>
      <c r="L170" s="10">
        <v>5000</v>
      </c>
      <c r="M170" s="11">
        <v>228910</v>
      </c>
      <c r="N170" s="6"/>
      <c r="O170" s="12"/>
      <c r="P170" s="6">
        <v>1</v>
      </c>
      <c r="Q170" s="6" t="s">
        <v>311</v>
      </c>
      <c r="R170" s="53" t="s">
        <v>1733</v>
      </c>
    </row>
    <row r="171" spans="1:18" x14ac:dyDescent="0.25">
      <c r="A171" s="2"/>
      <c r="B171" s="3" t="s">
        <v>358</v>
      </c>
      <c r="C171" s="46" t="s">
        <v>234</v>
      </c>
      <c r="D171" s="55">
        <v>45666</v>
      </c>
      <c r="E171" s="5" t="s">
        <v>359</v>
      </c>
      <c r="F171" s="14"/>
      <c r="G171" s="7">
        <v>4.8013000000000003</v>
      </c>
      <c r="H171" s="13">
        <v>3000</v>
      </c>
      <c r="I171" s="61">
        <f t="shared" si="2"/>
        <v>14403.900000000001</v>
      </c>
      <c r="J171" s="20" t="s">
        <v>234</v>
      </c>
      <c r="K171" s="9"/>
      <c r="L171" s="21">
        <v>0</v>
      </c>
      <c r="M171" s="15">
        <v>0</v>
      </c>
      <c r="N171" s="6"/>
      <c r="O171" s="12"/>
      <c r="P171" s="6">
        <v>1</v>
      </c>
      <c r="Q171" s="6" t="s">
        <v>311</v>
      </c>
      <c r="R171" s="53" t="s">
        <v>1733</v>
      </c>
    </row>
    <row r="172" spans="1:18" x14ac:dyDescent="0.25">
      <c r="A172" s="2"/>
      <c r="B172" s="3" t="s">
        <v>360</v>
      </c>
      <c r="C172" s="46" t="s">
        <v>1711</v>
      </c>
      <c r="D172" s="55">
        <v>45666</v>
      </c>
      <c r="E172" s="5" t="s">
        <v>361</v>
      </c>
      <c r="F172" s="6"/>
      <c r="G172" s="7">
        <v>4.8013000000000003</v>
      </c>
      <c r="H172" s="2">
        <v>50001</v>
      </c>
      <c r="I172" s="61">
        <f t="shared" si="2"/>
        <v>240069.80130000002</v>
      </c>
      <c r="J172" s="8" t="s">
        <v>64</v>
      </c>
      <c r="K172" s="9"/>
      <c r="L172" s="10">
        <v>50001</v>
      </c>
      <c r="M172" s="11">
        <v>240069.80129999999</v>
      </c>
      <c r="N172" s="6"/>
      <c r="O172" s="12"/>
      <c r="P172" s="6">
        <v>1</v>
      </c>
      <c r="Q172" s="6" t="s">
        <v>311</v>
      </c>
      <c r="R172" s="53" t="s">
        <v>1733</v>
      </c>
    </row>
    <row r="173" spans="1:18" x14ac:dyDescent="0.25">
      <c r="A173" s="2"/>
      <c r="B173" s="16" t="s">
        <v>362</v>
      </c>
      <c r="C173" s="50" t="s">
        <v>1711</v>
      </c>
      <c r="D173" s="55">
        <v>45666</v>
      </c>
      <c r="E173" s="17" t="s">
        <v>363</v>
      </c>
      <c r="F173" s="6"/>
      <c r="G173" s="7">
        <v>4.8013000000000003</v>
      </c>
      <c r="H173" s="2">
        <v>0</v>
      </c>
      <c r="I173" s="61" t="str">
        <f t="shared" si="2"/>
        <v/>
      </c>
      <c r="J173" s="8" t="s">
        <v>64</v>
      </c>
      <c r="K173" s="9"/>
      <c r="L173" s="25">
        <v>50000</v>
      </c>
      <c r="M173" s="11">
        <v>50000</v>
      </c>
      <c r="N173" s="6"/>
      <c r="O173" s="12"/>
      <c r="P173" s="6">
        <v>1</v>
      </c>
      <c r="Q173" s="6" t="s">
        <v>311</v>
      </c>
      <c r="R173" s="53" t="s">
        <v>1733</v>
      </c>
    </row>
    <row r="174" spans="1:18" x14ac:dyDescent="0.25">
      <c r="A174" s="2"/>
      <c r="B174" s="3" t="s">
        <v>364</v>
      </c>
      <c r="C174" s="46" t="s">
        <v>234</v>
      </c>
      <c r="D174" s="55">
        <v>45666</v>
      </c>
      <c r="E174" s="5" t="s">
        <v>365</v>
      </c>
      <c r="F174" s="6"/>
      <c r="G174" s="7">
        <v>4.8013000000000003</v>
      </c>
      <c r="H174" s="13">
        <v>400000</v>
      </c>
      <c r="I174" s="61">
        <f t="shared" si="2"/>
        <v>1920520.0000000002</v>
      </c>
      <c r="J174" s="8" t="s">
        <v>234</v>
      </c>
      <c r="K174" s="9"/>
      <c r="L174" s="10">
        <v>0</v>
      </c>
      <c r="M174" s="11">
        <v>0</v>
      </c>
      <c r="N174" s="6"/>
      <c r="O174" s="12"/>
      <c r="P174" s="6">
        <v>1</v>
      </c>
      <c r="Q174" s="6" t="s">
        <v>311</v>
      </c>
      <c r="R174" s="53" t="s">
        <v>1733</v>
      </c>
    </row>
    <row r="175" spans="1:18" x14ac:dyDescent="0.25">
      <c r="A175" s="2"/>
      <c r="B175" s="3" t="s">
        <v>366</v>
      </c>
      <c r="C175" s="46" t="s">
        <v>1711</v>
      </c>
      <c r="D175" s="55">
        <v>45666</v>
      </c>
      <c r="E175" s="5" t="s">
        <v>367</v>
      </c>
      <c r="F175" s="6"/>
      <c r="G175" s="7">
        <v>4.8013000000000003</v>
      </c>
      <c r="H175" s="2">
        <v>5375</v>
      </c>
      <c r="I175" s="61">
        <f t="shared" si="2"/>
        <v>25806.987500000003</v>
      </c>
      <c r="J175" s="8" t="s">
        <v>64</v>
      </c>
      <c r="K175" s="9"/>
      <c r="L175" s="10">
        <v>5375</v>
      </c>
      <c r="M175" s="11">
        <v>25806.987499999999</v>
      </c>
      <c r="N175" s="6"/>
      <c r="O175" s="12"/>
      <c r="P175" s="6">
        <v>1</v>
      </c>
      <c r="Q175" s="6" t="s">
        <v>311</v>
      </c>
      <c r="R175" s="53" t="s">
        <v>1733</v>
      </c>
    </row>
    <row r="176" spans="1:18" x14ac:dyDescent="0.25">
      <c r="A176" s="2"/>
      <c r="B176" s="3" t="s">
        <v>368</v>
      </c>
      <c r="C176" s="46" t="s">
        <v>1711</v>
      </c>
      <c r="D176" s="55">
        <v>45666</v>
      </c>
      <c r="E176" s="5" t="s">
        <v>1758</v>
      </c>
      <c r="F176" s="14"/>
      <c r="G176" s="7">
        <v>4.8013000000000003</v>
      </c>
      <c r="H176" s="13">
        <v>2000</v>
      </c>
      <c r="I176" s="61">
        <f t="shared" si="2"/>
        <v>9602.6</v>
      </c>
      <c r="J176" s="20" t="s">
        <v>64</v>
      </c>
      <c r="K176" s="9"/>
      <c r="L176" s="21">
        <v>2000</v>
      </c>
      <c r="M176" s="15">
        <v>9602.6</v>
      </c>
      <c r="N176" s="6"/>
      <c r="O176" s="12"/>
      <c r="P176" s="6">
        <v>1</v>
      </c>
      <c r="Q176" s="6" t="s">
        <v>311</v>
      </c>
      <c r="R176" s="53" t="s">
        <v>1733</v>
      </c>
    </row>
    <row r="177" spans="1:18" x14ac:dyDescent="0.25">
      <c r="A177" s="2"/>
      <c r="B177" s="3" t="s">
        <v>369</v>
      </c>
      <c r="C177" s="46" t="s">
        <v>1711</v>
      </c>
      <c r="D177" s="55">
        <v>45666</v>
      </c>
      <c r="E177" s="5" t="s">
        <v>370</v>
      </c>
      <c r="F177" s="6"/>
      <c r="G177" s="7">
        <v>4.8013000000000003</v>
      </c>
      <c r="H177" s="2">
        <v>0</v>
      </c>
      <c r="I177" s="61" t="str">
        <f t="shared" si="2"/>
        <v/>
      </c>
      <c r="J177" s="8" t="s">
        <v>64</v>
      </c>
      <c r="K177" s="9"/>
      <c r="L177" s="10" t="s">
        <v>371</v>
      </c>
      <c r="M177" s="11">
        <v>2395000</v>
      </c>
      <c r="N177" s="6"/>
      <c r="O177" s="12"/>
      <c r="P177" s="6">
        <v>1</v>
      </c>
      <c r="Q177" s="6" t="s">
        <v>311</v>
      </c>
      <c r="R177" s="53" t="s">
        <v>1733</v>
      </c>
    </row>
    <row r="178" spans="1:18" x14ac:dyDescent="0.25">
      <c r="A178" s="2"/>
      <c r="B178" s="3" t="s">
        <v>372</v>
      </c>
      <c r="C178" s="46" t="s">
        <v>1711</v>
      </c>
      <c r="D178" s="55">
        <v>45666</v>
      </c>
      <c r="E178" s="5" t="s">
        <v>373</v>
      </c>
      <c r="F178" s="6"/>
      <c r="G178" s="7">
        <v>4.8013000000000003</v>
      </c>
      <c r="H178" s="2">
        <v>0</v>
      </c>
      <c r="I178" s="61" t="str">
        <f t="shared" si="2"/>
        <v/>
      </c>
      <c r="J178" s="8" t="s">
        <v>64</v>
      </c>
      <c r="K178" s="9"/>
      <c r="L178" s="25">
        <v>215550</v>
      </c>
      <c r="M178" s="11">
        <v>2155500</v>
      </c>
      <c r="N178" s="6"/>
      <c r="O178" s="12"/>
      <c r="P178" s="6">
        <v>1</v>
      </c>
      <c r="Q178" s="6" t="s">
        <v>311</v>
      </c>
      <c r="R178" s="53" t="s">
        <v>1733</v>
      </c>
    </row>
    <row r="179" spans="1:18" x14ac:dyDescent="0.25">
      <c r="A179" s="2"/>
      <c r="B179" s="3" t="s">
        <v>374</v>
      </c>
      <c r="C179" s="46" t="s">
        <v>234</v>
      </c>
      <c r="D179" s="55">
        <v>45666</v>
      </c>
      <c r="E179" s="5" t="s">
        <v>375</v>
      </c>
      <c r="F179" s="6"/>
      <c r="G179" s="7">
        <v>4.8013000000000003</v>
      </c>
      <c r="H179" s="2">
        <v>0</v>
      </c>
      <c r="I179" s="61" t="str">
        <f t="shared" si="2"/>
        <v/>
      </c>
      <c r="J179" s="8" t="s">
        <v>234</v>
      </c>
      <c r="K179" s="9"/>
      <c r="L179" s="10">
        <v>0</v>
      </c>
      <c r="M179" s="11">
        <v>63450</v>
      </c>
      <c r="N179" s="6"/>
      <c r="O179" s="12"/>
      <c r="P179" s="6">
        <v>1</v>
      </c>
      <c r="Q179" s="6" t="s">
        <v>311</v>
      </c>
      <c r="R179" s="53" t="s">
        <v>1733</v>
      </c>
    </row>
    <row r="180" spans="1:18" x14ac:dyDescent="0.25">
      <c r="A180" s="2"/>
      <c r="B180" s="3" t="s">
        <v>376</v>
      </c>
      <c r="C180" s="46" t="s">
        <v>234</v>
      </c>
      <c r="D180" s="55">
        <v>45666</v>
      </c>
      <c r="E180" s="5" t="s">
        <v>1759</v>
      </c>
      <c r="F180" s="6"/>
      <c r="G180" s="7">
        <v>4.8013000000000003</v>
      </c>
      <c r="H180" s="2">
        <v>200000</v>
      </c>
      <c r="I180" s="61">
        <f t="shared" si="2"/>
        <v>960260.00000000012</v>
      </c>
      <c r="J180" s="8" t="s">
        <v>234</v>
      </c>
      <c r="K180" s="9"/>
      <c r="L180" s="10">
        <v>0</v>
      </c>
      <c r="M180" s="11">
        <v>0</v>
      </c>
      <c r="N180" s="6"/>
      <c r="O180" s="12"/>
      <c r="P180" s="6">
        <v>1</v>
      </c>
      <c r="Q180" s="6" t="s">
        <v>311</v>
      </c>
      <c r="R180" s="53" t="s">
        <v>1733</v>
      </c>
    </row>
    <row r="181" spans="1:18" x14ac:dyDescent="0.25">
      <c r="A181" s="2"/>
      <c r="B181" s="3" t="s">
        <v>377</v>
      </c>
      <c r="C181" s="46" t="s">
        <v>72</v>
      </c>
      <c r="D181" s="55">
        <v>45666</v>
      </c>
      <c r="E181" s="5" t="s">
        <v>1759</v>
      </c>
      <c r="F181" s="6"/>
      <c r="G181" s="7">
        <v>4.8013000000000003</v>
      </c>
      <c r="H181" s="2">
        <v>200000</v>
      </c>
      <c r="I181" s="61">
        <f t="shared" si="2"/>
        <v>960260.00000000012</v>
      </c>
      <c r="J181" s="8" t="s">
        <v>288</v>
      </c>
      <c r="K181" s="9"/>
      <c r="L181" s="10">
        <v>0</v>
      </c>
      <c r="M181" s="11">
        <v>0</v>
      </c>
      <c r="N181" s="6" t="s">
        <v>378</v>
      </c>
      <c r="O181" s="12"/>
      <c r="P181" s="6">
        <v>1</v>
      </c>
      <c r="Q181" s="6" t="s">
        <v>311</v>
      </c>
      <c r="R181" s="53" t="s">
        <v>1733</v>
      </c>
    </row>
    <row r="182" spans="1:18" x14ac:dyDescent="0.25">
      <c r="A182" s="2"/>
      <c r="B182" s="3" t="s">
        <v>379</v>
      </c>
      <c r="C182" s="46" t="s">
        <v>234</v>
      </c>
      <c r="D182" s="55">
        <v>45666</v>
      </c>
      <c r="E182" s="5" t="s">
        <v>380</v>
      </c>
      <c r="F182" s="6"/>
      <c r="G182" s="7">
        <v>4.8013000000000003</v>
      </c>
      <c r="H182" s="2">
        <v>40000</v>
      </c>
      <c r="I182" s="61">
        <f t="shared" si="2"/>
        <v>192052</v>
      </c>
      <c r="J182" s="8" t="s">
        <v>234</v>
      </c>
      <c r="K182" s="9"/>
      <c r="L182" s="10">
        <v>0</v>
      </c>
      <c r="M182" s="11">
        <v>0</v>
      </c>
      <c r="N182" s="6"/>
      <c r="O182" s="12"/>
      <c r="P182" s="6">
        <v>1</v>
      </c>
      <c r="Q182" s="6" t="s">
        <v>311</v>
      </c>
      <c r="R182" s="53" t="s">
        <v>1733</v>
      </c>
    </row>
    <row r="183" spans="1:18" x14ac:dyDescent="0.25">
      <c r="A183" s="2"/>
      <c r="B183" s="3" t="s">
        <v>381</v>
      </c>
      <c r="C183" s="46" t="s">
        <v>1711</v>
      </c>
      <c r="D183" s="55">
        <v>45666</v>
      </c>
      <c r="E183" s="5" t="s">
        <v>382</v>
      </c>
      <c r="F183" s="6"/>
      <c r="G183" s="7">
        <v>4.8013000000000003</v>
      </c>
      <c r="H183" s="2">
        <v>7501</v>
      </c>
      <c r="I183" s="61">
        <f t="shared" si="2"/>
        <v>36014.551299999999</v>
      </c>
      <c r="J183" s="8" t="s">
        <v>64</v>
      </c>
      <c r="K183" s="9"/>
      <c r="L183" s="10">
        <v>7501</v>
      </c>
      <c r="M183" s="11">
        <v>36014.551299999999</v>
      </c>
      <c r="N183" s="6"/>
      <c r="O183" s="12"/>
      <c r="P183" s="6">
        <v>1</v>
      </c>
      <c r="Q183" s="6" t="s">
        <v>311</v>
      </c>
      <c r="R183" s="53" t="s">
        <v>1733</v>
      </c>
    </row>
    <row r="184" spans="1:18" x14ac:dyDescent="0.25">
      <c r="A184" s="2"/>
      <c r="B184" s="3" t="s">
        <v>383</v>
      </c>
      <c r="C184" s="46" t="s">
        <v>1711</v>
      </c>
      <c r="D184" s="55">
        <v>45666</v>
      </c>
      <c r="E184" s="5" t="s">
        <v>323</v>
      </c>
      <c r="F184" s="6"/>
      <c r="G184" s="7">
        <v>4.8013000000000003</v>
      </c>
      <c r="H184" s="2">
        <v>1500</v>
      </c>
      <c r="I184" s="61">
        <f t="shared" si="2"/>
        <v>7201.9500000000007</v>
      </c>
      <c r="J184" s="8" t="s">
        <v>64</v>
      </c>
      <c r="K184" s="9"/>
      <c r="L184" s="10">
        <v>1500</v>
      </c>
      <c r="M184" s="11">
        <v>7201.95</v>
      </c>
      <c r="N184" s="6"/>
      <c r="O184" s="12"/>
      <c r="P184" s="6">
        <v>1</v>
      </c>
      <c r="Q184" s="6" t="s">
        <v>311</v>
      </c>
      <c r="R184" s="53" t="s">
        <v>1733</v>
      </c>
    </row>
    <row r="185" spans="1:18" x14ac:dyDescent="0.25">
      <c r="A185" s="2"/>
      <c r="B185" s="3" t="s">
        <v>384</v>
      </c>
      <c r="C185" s="46" t="s">
        <v>1711</v>
      </c>
      <c r="D185" s="55">
        <v>45666</v>
      </c>
      <c r="E185" s="5" t="s">
        <v>385</v>
      </c>
      <c r="F185" s="6"/>
      <c r="G185" s="7">
        <v>4.8013000000000003</v>
      </c>
      <c r="H185" s="2">
        <v>300000</v>
      </c>
      <c r="I185" s="61">
        <f t="shared" si="2"/>
        <v>1440390</v>
      </c>
      <c r="J185" s="8" t="s">
        <v>64</v>
      </c>
      <c r="K185" s="9"/>
      <c r="L185" s="10">
        <v>300000</v>
      </c>
      <c r="M185" s="11">
        <v>1440390</v>
      </c>
      <c r="N185" s="6"/>
      <c r="O185" s="12"/>
      <c r="P185" s="6">
        <v>1</v>
      </c>
      <c r="Q185" s="6" t="s">
        <v>311</v>
      </c>
      <c r="R185" s="53" t="s">
        <v>1733</v>
      </c>
    </row>
    <row r="186" spans="1:18" x14ac:dyDescent="0.25">
      <c r="A186" s="2"/>
      <c r="B186" s="3" t="s">
        <v>386</v>
      </c>
      <c r="C186" s="46" t="s">
        <v>1711</v>
      </c>
      <c r="D186" s="55">
        <v>45666</v>
      </c>
      <c r="E186" s="5" t="s">
        <v>387</v>
      </c>
      <c r="F186" s="6"/>
      <c r="G186" s="7">
        <v>4.8013000000000003</v>
      </c>
      <c r="H186" s="2">
        <v>10000</v>
      </c>
      <c r="I186" s="61">
        <f t="shared" si="2"/>
        <v>48013</v>
      </c>
      <c r="J186" s="8" t="s">
        <v>64</v>
      </c>
      <c r="K186" s="9"/>
      <c r="L186" s="10">
        <v>10000</v>
      </c>
      <c r="M186" s="11">
        <v>48013</v>
      </c>
      <c r="N186" s="6"/>
      <c r="O186" s="12"/>
      <c r="P186" s="6">
        <v>1</v>
      </c>
      <c r="Q186" s="6" t="s">
        <v>311</v>
      </c>
      <c r="R186" s="53" t="s">
        <v>1733</v>
      </c>
    </row>
    <row r="187" spans="1:18" x14ac:dyDescent="0.25">
      <c r="A187" s="2"/>
      <c r="B187" s="16" t="s">
        <v>388</v>
      </c>
      <c r="C187" s="50" t="s">
        <v>1711</v>
      </c>
      <c r="D187" s="55">
        <v>45666</v>
      </c>
      <c r="E187" s="17" t="s">
        <v>389</v>
      </c>
      <c r="F187" s="6"/>
      <c r="G187" s="7">
        <v>4.8013000000000003</v>
      </c>
      <c r="H187" s="2">
        <v>300</v>
      </c>
      <c r="I187" s="61">
        <f t="shared" si="2"/>
        <v>1440.39</v>
      </c>
      <c r="J187" s="8" t="s">
        <v>64</v>
      </c>
      <c r="K187" s="9"/>
      <c r="L187" s="10">
        <v>300</v>
      </c>
      <c r="M187" s="11">
        <v>1440.39</v>
      </c>
      <c r="N187" s="6"/>
      <c r="O187" s="12"/>
      <c r="P187" s="6">
        <v>1</v>
      </c>
      <c r="Q187" s="6" t="s">
        <v>311</v>
      </c>
      <c r="R187" s="53" t="s">
        <v>1733</v>
      </c>
    </row>
    <row r="188" spans="1:18" x14ac:dyDescent="0.25">
      <c r="A188" s="2"/>
      <c r="B188" s="3" t="s">
        <v>390</v>
      </c>
      <c r="C188" s="46" t="s">
        <v>1711</v>
      </c>
      <c r="D188" s="55">
        <v>45666</v>
      </c>
      <c r="E188" s="5" t="s">
        <v>391</v>
      </c>
      <c r="F188" s="6"/>
      <c r="G188" s="7">
        <v>4.8013000000000003</v>
      </c>
      <c r="H188" s="2">
        <v>50000</v>
      </c>
      <c r="I188" s="61">
        <f t="shared" si="2"/>
        <v>240065.00000000003</v>
      </c>
      <c r="J188" s="8" t="s">
        <v>64</v>
      </c>
      <c r="K188" s="9"/>
      <c r="L188" s="10">
        <v>50000</v>
      </c>
      <c r="M188" s="11">
        <v>240065</v>
      </c>
      <c r="N188" s="6"/>
      <c r="O188" s="12"/>
      <c r="P188" s="6">
        <v>1</v>
      </c>
      <c r="Q188" s="6" t="s">
        <v>311</v>
      </c>
      <c r="R188" s="53" t="s">
        <v>1733</v>
      </c>
    </row>
    <row r="189" spans="1:18" x14ac:dyDescent="0.25">
      <c r="A189" s="2"/>
      <c r="B189" s="3" t="s">
        <v>392</v>
      </c>
      <c r="C189" s="46" t="s">
        <v>1711</v>
      </c>
      <c r="D189" s="55">
        <v>45666</v>
      </c>
      <c r="E189" s="5" t="s">
        <v>1760</v>
      </c>
      <c r="F189" s="6"/>
      <c r="G189" s="7">
        <v>4.8013000000000003</v>
      </c>
      <c r="H189" s="2">
        <v>250000</v>
      </c>
      <c r="I189" s="61">
        <f t="shared" si="2"/>
        <v>1200325</v>
      </c>
      <c r="J189" s="8" t="s">
        <v>64</v>
      </c>
      <c r="K189" s="9"/>
      <c r="L189" s="10">
        <v>250000</v>
      </c>
      <c r="M189" s="11">
        <v>1200325</v>
      </c>
      <c r="N189" s="6"/>
      <c r="O189" s="12"/>
      <c r="P189" s="6">
        <v>1</v>
      </c>
      <c r="Q189" s="6" t="s">
        <v>311</v>
      </c>
      <c r="R189" s="53" t="s">
        <v>1733</v>
      </c>
    </row>
    <row r="190" spans="1:18" x14ac:dyDescent="0.25">
      <c r="A190" s="2"/>
      <c r="B190" s="3" t="s">
        <v>393</v>
      </c>
      <c r="C190" s="46" t="s">
        <v>1711</v>
      </c>
      <c r="D190" s="55">
        <v>45666</v>
      </c>
      <c r="E190" s="5" t="s">
        <v>394</v>
      </c>
      <c r="F190" s="6"/>
      <c r="G190" s="7">
        <v>4.8013000000000003</v>
      </c>
      <c r="H190" s="2">
        <v>150000</v>
      </c>
      <c r="I190" s="61">
        <f t="shared" si="2"/>
        <v>720195</v>
      </c>
      <c r="J190" s="8" t="s">
        <v>69</v>
      </c>
      <c r="K190" s="9"/>
      <c r="L190" s="10">
        <v>7501</v>
      </c>
      <c r="M190" s="11">
        <v>36014.551299999999</v>
      </c>
      <c r="N190" s="6"/>
      <c r="O190" s="12"/>
      <c r="P190" s="6">
        <v>1</v>
      </c>
      <c r="Q190" s="6" t="s">
        <v>311</v>
      </c>
      <c r="R190" s="53" t="s">
        <v>1733</v>
      </c>
    </row>
    <row r="191" spans="1:18" x14ac:dyDescent="0.25">
      <c r="A191" s="2"/>
      <c r="B191" s="16" t="s">
        <v>395</v>
      </c>
      <c r="C191" s="50" t="s">
        <v>1712</v>
      </c>
      <c r="D191" s="55">
        <v>45666</v>
      </c>
      <c r="E191" s="17" t="s">
        <v>396</v>
      </c>
      <c r="F191" s="6"/>
      <c r="G191" s="7">
        <v>4.8013000000000003</v>
      </c>
      <c r="H191" s="2">
        <v>40000</v>
      </c>
      <c r="I191" s="61">
        <f t="shared" si="2"/>
        <v>192052</v>
      </c>
      <c r="J191" s="8" t="s">
        <v>288</v>
      </c>
      <c r="K191" s="9"/>
      <c r="L191" s="10"/>
      <c r="M191" s="11">
        <v>0</v>
      </c>
      <c r="N191" s="6"/>
      <c r="O191" s="12"/>
      <c r="P191" s="6">
        <v>1</v>
      </c>
      <c r="Q191" s="6" t="s">
        <v>311</v>
      </c>
      <c r="R191" s="53" t="s">
        <v>1733</v>
      </c>
    </row>
    <row r="192" spans="1:18" x14ac:dyDescent="0.25">
      <c r="A192" s="2"/>
      <c r="B192" s="3" t="s">
        <v>397</v>
      </c>
      <c r="C192" s="46" t="s">
        <v>1712</v>
      </c>
      <c r="D192" s="55">
        <v>45666</v>
      </c>
      <c r="E192" s="5" t="s">
        <v>398</v>
      </c>
      <c r="F192" s="6"/>
      <c r="G192" s="7">
        <v>4.8013000000000003</v>
      </c>
      <c r="H192" s="2">
        <v>7000</v>
      </c>
      <c r="I192" s="61">
        <f t="shared" si="2"/>
        <v>33609.100000000006</v>
      </c>
      <c r="J192" s="8" t="s">
        <v>69</v>
      </c>
      <c r="K192" s="9"/>
      <c r="L192" s="10">
        <v>2200</v>
      </c>
      <c r="M192" s="11">
        <v>10562.86</v>
      </c>
      <c r="N192" s="6"/>
      <c r="O192" s="12"/>
      <c r="P192" s="6">
        <v>1</v>
      </c>
      <c r="Q192" s="6" t="s">
        <v>311</v>
      </c>
      <c r="R192" s="53" t="s">
        <v>1733</v>
      </c>
    </row>
    <row r="193" spans="1:18" x14ac:dyDescent="0.25">
      <c r="A193" s="2"/>
      <c r="B193" s="3" t="s">
        <v>399</v>
      </c>
      <c r="C193" s="46" t="s">
        <v>1712</v>
      </c>
      <c r="D193" s="55">
        <v>45666</v>
      </c>
      <c r="E193" s="5" t="s">
        <v>400</v>
      </c>
      <c r="F193" s="14"/>
      <c r="G193" s="7">
        <v>4.8013000000000003</v>
      </c>
      <c r="H193" s="2">
        <v>0</v>
      </c>
      <c r="I193" s="61" t="str">
        <f t="shared" si="2"/>
        <v/>
      </c>
      <c r="J193" s="8" t="s">
        <v>69</v>
      </c>
      <c r="K193" s="9"/>
      <c r="L193" s="10">
        <v>2931825</v>
      </c>
      <c r="M193" s="11">
        <v>4510500</v>
      </c>
      <c r="N193" s="6"/>
      <c r="O193" s="12"/>
      <c r="P193" s="6">
        <v>1</v>
      </c>
      <c r="Q193" s="6" t="s">
        <v>311</v>
      </c>
      <c r="R193" s="53" t="s">
        <v>1733</v>
      </c>
    </row>
    <row r="194" spans="1:18" x14ac:dyDescent="0.25">
      <c r="A194" s="2"/>
      <c r="B194" s="3" t="s">
        <v>401</v>
      </c>
      <c r="C194" s="46" t="s">
        <v>1711</v>
      </c>
      <c r="D194" s="55">
        <v>45666</v>
      </c>
      <c r="E194" s="5" t="s">
        <v>402</v>
      </c>
      <c r="F194" s="6"/>
      <c r="G194" s="7">
        <v>4.8013000000000003</v>
      </c>
      <c r="H194" s="2">
        <v>150000</v>
      </c>
      <c r="I194" s="61">
        <f t="shared" si="2"/>
        <v>720195</v>
      </c>
      <c r="J194" s="8" t="s">
        <v>64</v>
      </c>
      <c r="K194" s="9"/>
      <c r="L194" s="10">
        <v>150000</v>
      </c>
      <c r="M194" s="11">
        <v>720195</v>
      </c>
      <c r="N194" s="6"/>
      <c r="O194" s="12"/>
      <c r="P194" s="6">
        <v>1</v>
      </c>
      <c r="Q194" s="6" t="s">
        <v>311</v>
      </c>
      <c r="R194" s="53" t="s">
        <v>1733</v>
      </c>
    </row>
    <row r="195" spans="1:18" x14ac:dyDescent="0.25">
      <c r="A195" s="2"/>
      <c r="B195" s="3" t="s">
        <v>403</v>
      </c>
      <c r="C195" s="46" t="s">
        <v>1711</v>
      </c>
      <c r="D195" s="55">
        <v>45666</v>
      </c>
      <c r="E195" s="5" t="s">
        <v>404</v>
      </c>
      <c r="F195" s="6"/>
      <c r="G195" s="7">
        <v>4.8013000000000003</v>
      </c>
      <c r="H195" s="2">
        <v>10000</v>
      </c>
      <c r="I195" s="61">
        <f t="shared" ref="I195:I258" si="3">IF(H195&lt;&gt;0, G195*H195, "")</f>
        <v>48013</v>
      </c>
      <c r="J195" s="8" t="s">
        <v>64</v>
      </c>
      <c r="K195" s="9"/>
      <c r="L195" s="10">
        <v>10000</v>
      </c>
      <c r="M195" s="11">
        <v>48013</v>
      </c>
      <c r="N195" s="6"/>
      <c r="O195" s="12"/>
      <c r="P195" s="6">
        <v>1</v>
      </c>
      <c r="Q195" s="6" t="s">
        <v>311</v>
      </c>
      <c r="R195" s="53" t="s">
        <v>1733</v>
      </c>
    </row>
    <row r="196" spans="1:18" x14ac:dyDescent="0.25">
      <c r="A196" s="2"/>
      <c r="B196" s="3" t="s">
        <v>405</v>
      </c>
      <c r="C196" s="46" t="s">
        <v>1713</v>
      </c>
      <c r="D196" s="55">
        <v>45666</v>
      </c>
      <c r="E196" s="5" t="s">
        <v>406</v>
      </c>
      <c r="F196" s="6"/>
      <c r="G196" s="7">
        <v>4.8013000000000003</v>
      </c>
      <c r="H196" s="2">
        <v>50000</v>
      </c>
      <c r="I196" s="61">
        <f t="shared" si="3"/>
        <v>240065.00000000003</v>
      </c>
      <c r="J196" s="8" t="s">
        <v>101</v>
      </c>
      <c r="K196" s="9"/>
      <c r="L196" s="10">
        <v>100000</v>
      </c>
      <c r="M196" s="11">
        <v>480130</v>
      </c>
      <c r="N196" s="6"/>
      <c r="O196" s="12"/>
      <c r="P196" s="6">
        <v>1</v>
      </c>
      <c r="Q196" s="6" t="s">
        <v>311</v>
      </c>
      <c r="R196" s="53" t="s">
        <v>1733</v>
      </c>
    </row>
    <row r="197" spans="1:18" x14ac:dyDescent="0.25">
      <c r="A197" s="2"/>
      <c r="B197" s="3" t="s">
        <v>407</v>
      </c>
      <c r="C197" s="46" t="s">
        <v>1712</v>
      </c>
      <c r="D197" s="55">
        <v>45666</v>
      </c>
      <c r="E197" s="5" t="s">
        <v>408</v>
      </c>
      <c r="F197" s="6"/>
      <c r="G197" s="7">
        <v>4.8013000000000003</v>
      </c>
      <c r="H197" s="2">
        <v>100000</v>
      </c>
      <c r="I197" s="61">
        <f t="shared" si="3"/>
        <v>480130.00000000006</v>
      </c>
      <c r="J197" s="8" t="s">
        <v>69</v>
      </c>
      <c r="K197" s="9"/>
      <c r="L197" s="10">
        <v>7500</v>
      </c>
      <c r="M197" s="11">
        <v>36009.75</v>
      </c>
      <c r="N197" s="6"/>
      <c r="O197" s="12"/>
      <c r="P197" s="6">
        <v>1</v>
      </c>
      <c r="Q197" s="6" t="s">
        <v>311</v>
      </c>
      <c r="R197" s="53" t="s">
        <v>1733</v>
      </c>
    </row>
    <row r="198" spans="1:18" x14ac:dyDescent="0.25">
      <c r="A198" s="2"/>
      <c r="B198" s="3" t="s">
        <v>409</v>
      </c>
      <c r="C198" s="46" t="s">
        <v>1711</v>
      </c>
      <c r="D198" s="55">
        <v>45666</v>
      </c>
      <c r="E198" s="5" t="s">
        <v>410</v>
      </c>
      <c r="F198" s="6"/>
      <c r="G198" s="7">
        <v>4.8013000000000003</v>
      </c>
      <c r="H198" s="2">
        <v>50000</v>
      </c>
      <c r="I198" s="61">
        <f t="shared" si="3"/>
        <v>240065.00000000003</v>
      </c>
      <c r="J198" s="8" t="s">
        <v>64</v>
      </c>
      <c r="K198" s="9"/>
      <c r="L198" s="10">
        <v>50000</v>
      </c>
      <c r="M198" s="11">
        <v>240065</v>
      </c>
      <c r="N198" s="6"/>
      <c r="O198" s="12"/>
      <c r="P198" s="6">
        <v>1</v>
      </c>
      <c r="Q198" s="6" t="s">
        <v>311</v>
      </c>
      <c r="R198" s="53" t="s">
        <v>1733</v>
      </c>
    </row>
    <row r="199" spans="1:18" x14ac:dyDescent="0.25">
      <c r="A199" s="2"/>
      <c r="B199" s="3" t="s">
        <v>411</v>
      </c>
      <c r="C199" s="51" t="s">
        <v>1711</v>
      </c>
      <c r="D199" s="55">
        <v>45635</v>
      </c>
      <c r="E199" s="5" t="s">
        <v>412</v>
      </c>
      <c r="F199" s="14"/>
      <c r="G199" s="32">
        <v>4.5781999999999998</v>
      </c>
      <c r="H199" s="13">
        <v>133000</v>
      </c>
      <c r="I199" s="61">
        <f t="shared" si="3"/>
        <v>608900.6</v>
      </c>
      <c r="J199" s="8"/>
      <c r="K199" s="9"/>
      <c r="L199" s="10"/>
      <c r="M199" s="15">
        <v>0</v>
      </c>
      <c r="N199" s="6"/>
      <c r="O199" s="12"/>
      <c r="P199" s="6">
        <v>12</v>
      </c>
      <c r="Q199" s="6" t="s">
        <v>413</v>
      </c>
      <c r="R199" s="53" t="s">
        <v>1733</v>
      </c>
    </row>
    <row r="200" spans="1:18" x14ac:dyDescent="0.25">
      <c r="A200" s="2"/>
      <c r="B200" s="3" t="s">
        <v>414</v>
      </c>
      <c r="C200" s="51" t="s">
        <v>1711</v>
      </c>
      <c r="D200" s="55">
        <v>45635</v>
      </c>
      <c r="E200" s="5" t="s">
        <v>415</v>
      </c>
      <c r="F200" s="6"/>
      <c r="G200" s="7">
        <v>4.5781999999999998</v>
      </c>
      <c r="H200" s="2">
        <v>50001</v>
      </c>
      <c r="I200" s="61">
        <f t="shared" si="3"/>
        <v>228914.57819999999</v>
      </c>
      <c r="J200" s="8"/>
      <c r="K200" s="9"/>
      <c r="L200" s="10"/>
      <c r="M200" s="11">
        <v>0</v>
      </c>
      <c r="N200" s="6"/>
      <c r="O200" s="12"/>
      <c r="P200" s="6">
        <v>12</v>
      </c>
      <c r="Q200" s="6" t="s">
        <v>413</v>
      </c>
      <c r="R200" s="53" t="s">
        <v>1733</v>
      </c>
    </row>
    <row r="201" spans="1:18" x14ac:dyDescent="0.25">
      <c r="A201" s="2"/>
      <c r="B201" s="3" t="s">
        <v>416</v>
      </c>
      <c r="C201" s="51" t="s">
        <v>1711</v>
      </c>
      <c r="D201" s="55">
        <v>45635</v>
      </c>
      <c r="E201" s="5" t="s">
        <v>417</v>
      </c>
      <c r="F201" s="6"/>
      <c r="G201" s="7">
        <v>4.5781999999999998</v>
      </c>
      <c r="H201" s="2">
        <v>118000</v>
      </c>
      <c r="I201" s="61">
        <f t="shared" si="3"/>
        <v>540227.6</v>
      </c>
      <c r="J201" s="8"/>
      <c r="K201" s="9"/>
      <c r="L201" s="10"/>
      <c r="M201" s="11">
        <v>0</v>
      </c>
      <c r="N201" s="6"/>
      <c r="O201" s="12"/>
      <c r="P201" s="6">
        <v>12</v>
      </c>
      <c r="Q201" s="6" t="s">
        <v>413</v>
      </c>
      <c r="R201" s="53" t="s">
        <v>1733</v>
      </c>
    </row>
    <row r="202" spans="1:18" x14ac:dyDescent="0.25">
      <c r="A202" s="2"/>
      <c r="B202" s="3" t="s">
        <v>418</v>
      </c>
      <c r="C202" s="51" t="s">
        <v>1711</v>
      </c>
      <c r="D202" s="55">
        <v>45635</v>
      </c>
      <c r="E202" s="5" t="s">
        <v>50</v>
      </c>
      <c r="F202" s="6"/>
      <c r="G202" s="7">
        <v>4.5781999999999998</v>
      </c>
      <c r="H202" s="2">
        <v>1500</v>
      </c>
      <c r="I202" s="61">
        <f t="shared" si="3"/>
        <v>6867.3</v>
      </c>
      <c r="J202" s="8"/>
      <c r="K202" s="9"/>
      <c r="L202" s="10"/>
      <c r="M202" s="11">
        <v>0</v>
      </c>
      <c r="N202" s="6"/>
      <c r="O202" s="12"/>
      <c r="P202" s="6">
        <v>12</v>
      </c>
      <c r="Q202" s="6" t="s">
        <v>413</v>
      </c>
      <c r="R202" s="53" t="s">
        <v>1733</v>
      </c>
    </row>
    <row r="203" spans="1:18" x14ac:dyDescent="0.25">
      <c r="A203" s="2"/>
      <c r="B203" s="3" t="s">
        <v>419</v>
      </c>
      <c r="C203" s="51" t="s">
        <v>1711</v>
      </c>
      <c r="D203" s="55">
        <v>45635</v>
      </c>
      <c r="E203" s="5" t="s">
        <v>420</v>
      </c>
      <c r="F203" s="6"/>
      <c r="G203" s="7">
        <v>4.5781999999999998</v>
      </c>
      <c r="H203" s="2">
        <v>5000</v>
      </c>
      <c r="I203" s="61">
        <f t="shared" si="3"/>
        <v>22891</v>
      </c>
      <c r="J203" s="8"/>
      <c r="K203" s="9"/>
      <c r="L203" s="10"/>
      <c r="M203" s="11">
        <v>0</v>
      </c>
      <c r="N203" s="6"/>
      <c r="O203" s="12"/>
      <c r="P203" s="6">
        <v>12</v>
      </c>
      <c r="Q203" s="6" t="s">
        <v>413</v>
      </c>
      <c r="R203" s="53" t="s">
        <v>1733</v>
      </c>
    </row>
    <row r="204" spans="1:18" x14ac:dyDescent="0.25">
      <c r="A204" s="2"/>
      <c r="B204" s="3" t="s">
        <v>421</v>
      </c>
      <c r="C204" s="51" t="s">
        <v>1711</v>
      </c>
      <c r="D204" s="55">
        <v>45635</v>
      </c>
      <c r="E204" s="5" t="s">
        <v>422</v>
      </c>
      <c r="F204" s="14"/>
      <c r="G204" s="32">
        <v>4.5781999999999998</v>
      </c>
      <c r="H204" s="13">
        <v>7500</v>
      </c>
      <c r="I204" s="61">
        <f t="shared" si="3"/>
        <v>34336.5</v>
      </c>
      <c r="J204" s="8"/>
      <c r="K204" s="9"/>
      <c r="L204" s="10"/>
      <c r="M204" s="15">
        <v>0</v>
      </c>
      <c r="N204" s="6"/>
      <c r="O204" s="12"/>
      <c r="P204" s="6">
        <v>12</v>
      </c>
      <c r="Q204" s="6" t="s">
        <v>413</v>
      </c>
      <c r="R204" s="53" t="s">
        <v>1733</v>
      </c>
    </row>
    <row r="205" spans="1:18" x14ac:dyDescent="0.25">
      <c r="A205" s="2"/>
      <c r="B205" s="3" t="s">
        <v>423</v>
      </c>
      <c r="C205" s="51" t="s">
        <v>1711</v>
      </c>
      <c r="D205" s="55">
        <v>45635</v>
      </c>
      <c r="E205" s="5" t="s">
        <v>424</v>
      </c>
      <c r="F205" s="6"/>
      <c r="G205" s="7">
        <v>4.5781999999999998</v>
      </c>
      <c r="H205" s="2">
        <v>20000</v>
      </c>
      <c r="I205" s="61">
        <f t="shared" si="3"/>
        <v>91564</v>
      </c>
      <c r="J205" s="8"/>
      <c r="K205" s="9"/>
      <c r="L205" s="10"/>
      <c r="M205" s="11">
        <v>0</v>
      </c>
      <c r="N205" s="6"/>
      <c r="O205" s="12"/>
      <c r="P205" s="6">
        <v>12</v>
      </c>
      <c r="Q205" s="6" t="s">
        <v>413</v>
      </c>
      <c r="R205" s="53" t="s">
        <v>1733</v>
      </c>
    </row>
    <row r="206" spans="1:18" x14ac:dyDescent="0.25">
      <c r="A206" s="2"/>
      <c r="B206" s="3" t="s">
        <v>425</v>
      </c>
      <c r="C206" s="51" t="s">
        <v>1711</v>
      </c>
      <c r="D206" s="55">
        <v>45635</v>
      </c>
      <c r="E206" s="5" t="s">
        <v>426</v>
      </c>
      <c r="F206" s="6"/>
      <c r="G206" s="33"/>
      <c r="H206" s="2">
        <v>0</v>
      </c>
      <c r="I206" s="61" t="str">
        <f t="shared" si="3"/>
        <v/>
      </c>
      <c r="J206" s="8"/>
      <c r="K206" s="9"/>
      <c r="L206" s="10"/>
      <c r="M206" s="11">
        <v>310000</v>
      </c>
      <c r="N206" s="6"/>
      <c r="O206" s="12"/>
      <c r="P206" s="6">
        <v>12</v>
      </c>
      <c r="Q206" s="6" t="s">
        <v>413</v>
      </c>
      <c r="R206" s="53" t="s">
        <v>1733</v>
      </c>
    </row>
    <row r="207" spans="1:18" x14ac:dyDescent="0.25">
      <c r="A207" s="2"/>
      <c r="B207" s="3" t="s">
        <v>427</v>
      </c>
      <c r="C207" s="51" t="s">
        <v>1711</v>
      </c>
      <c r="D207" s="55">
        <v>45635</v>
      </c>
      <c r="E207" s="5" t="s">
        <v>1761</v>
      </c>
      <c r="F207" s="6"/>
      <c r="G207" s="7">
        <v>4.5781999999999998</v>
      </c>
      <c r="H207" s="2">
        <v>15000</v>
      </c>
      <c r="I207" s="61">
        <f t="shared" si="3"/>
        <v>68673</v>
      </c>
      <c r="J207" s="8"/>
      <c r="K207" s="9"/>
      <c r="L207" s="10"/>
      <c r="M207" s="11">
        <v>0</v>
      </c>
      <c r="N207" s="6"/>
      <c r="O207" s="12"/>
      <c r="P207" s="6">
        <v>12</v>
      </c>
      <c r="Q207" s="6" t="s">
        <v>413</v>
      </c>
      <c r="R207" s="53" t="s">
        <v>1733</v>
      </c>
    </row>
    <row r="208" spans="1:18" x14ac:dyDescent="0.25">
      <c r="A208" s="2"/>
      <c r="B208" s="3" t="s">
        <v>428</v>
      </c>
      <c r="C208" s="51" t="s">
        <v>1711</v>
      </c>
      <c r="D208" s="55">
        <v>45635</v>
      </c>
      <c r="E208" s="5" t="s">
        <v>429</v>
      </c>
      <c r="F208" s="6"/>
      <c r="G208" s="7">
        <v>4.5781999999999998</v>
      </c>
      <c r="H208" s="2">
        <v>4500</v>
      </c>
      <c r="I208" s="61">
        <f t="shared" si="3"/>
        <v>20601.899999999998</v>
      </c>
      <c r="J208" s="8"/>
      <c r="K208" s="9"/>
      <c r="L208" s="10"/>
      <c r="M208" s="11">
        <v>0</v>
      </c>
      <c r="N208" s="6"/>
      <c r="O208" s="12"/>
      <c r="P208" s="6">
        <v>12</v>
      </c>
      <c r="Q208" s="6" t="s">
        <v>413</v>
      </c>
      <c r="R208" s="53" t="s">
        <v>1733</v>
      </c>
    </row>
    <row r="209" spans="1:18" x14ac:dyDescent="0.25">
      <c r="A209" s="2"/>
      <c r="B209" s="3" t="s">
        <v>430</v>
      </c>
      <c r="C209" s="51" t="s">
        <v>1711</v>
      </c>
      <c r="D209" s="55">
        <v>45635</v>
      </c>
      <c r="E209" s="5" t="s">
        <v>429</v>
      </c>
      <c r="F209" s="6"/>
      <c r="G209" s="33"/>
      <c r="H209" s="2">
        <v>3000</v>
      </c>
      <c r="I209" s="61">
        <f t="shared" si="3"/>
        <v>0</v>
      </c>
      <c r="J209" s="8"/>
      <c r="K209" s="9"/>
      <c r="L209" s="10"/>
      <c r="M209" s="11">
        <v>0</v>
      </c>
      <c r="N209" s="6"/>
      <c r="O209" s="12"/>
      <c r="P209" s="6">
        <v>12</v>
      </c>
      <c r="Q209" s="6" t="s">
        <v>413</v>
      </c>
      <c r="R209" s="53" t="s">
        <v>1733</v>
      </c>
    </row>
    <row r="210" spans="1:18" x14ac:dyDescent="0.25">
      <c r="A210" s="2"/>
      <c r="B210" s="3" t="s">
        <v>431</v>
      </c>
      <c r="C210" s="51" t="s">
        <v>1711</v>
      </c>
      <c r="D210" s="55">
        <v>45635</v>
      </c>
      <c r="E210" s="5" t="s">
        <v>432</v>
      </c>
      <c r="F210" s="14"/>
      <c r="G210" s="32">
        <v>4.5781999999999998</v>
      </c>
      <c r="H210" s="13">
        <v>1500</v>
      </c>
      <c r="I210" s="61">
        <f t="shared" si="3"/>
        <v>6867.3</v>
      </c>
      <c r="J210" s="8"/>
      <c r="K210" s="9"/>
      <c r="L210" s="10"/>
      <c r="M210" s="15">
        <v>0</v>
      </c>
      <c r="N210" s="6"/>
      <c r="O210" s="12"/>
      <c r="P210" s="6">
        <v>12</v>
      </c>
      <c r="Q210" s="6" t="s">
        <v>413</v>
      </c>
      <c r="R210" s="53" t="s">
        <v>1733</v>
      </c>
    </row>
    <row r="211" spans="1:18" x14ac:dyDescent="0.25">
      <c r="A211" s="2"/>
      <c r="B211" s="3" t="s">
        <v>433</v>
      </c>
      <c r="C211" s="51" t="s">
        <v>1711</v>
      </c>
      <c r="D211" s="55">
        <v>45635</v>
      </c>
      <c r="E211" s="5" t="s">
        <v>1759</v>
      </c>
      <c r="F211" s="6"/>
      <c r="G211" s="7">
        <v>4.5781999999999998</v>
      </c>
      <c r="H211" s="2">
        <v>150000</v>
      </c>
      <c r="I211" s="61">
        <f t="shared" si="3"/>
        <v>686730</v>
      </c>
      <c r="J211" s="8"/>
      <c r="K211" s="9"/>
      <c r="L211" s="10"/>
      <c r="M211" s="11">
        <v>0</v>
      </c>
      <c r="N211" s="6"/>
      <c r="O211" s="12"/>
      <c r="P211" s="6">
        <v>12</v>
      </c>
      <c r="Q211" s="6" t="s">
        <v>413</v>
      </c>
      <c r="R211" s="53" t="s">
        <v>1733</v>
      </c>
    </row>
    <row r="212" spans="1:18" x14ac:dyDescent="0.25">
      <c r="A212" s="2"/>
      <c r="B212" s="3" t="s">
        <v>434</v>
      </c>
      <c r="C212" s="51" t="s">
        <v>1711</v>
      </c>
      <c r="D212" s="55">
        <v>45635</v>
      </c>
      <c r="E212" s="5" t="s">
        <v>1759</v>
      </c>
      <c r="F212" s="6"/>
      <c r="G212" s="7">
        <v>4.5781999999999998</v>
      </c>
      <c r="H212" s="2">
        <v>10000</v>
      </c>
      <c r="I212" s="61">
        <f t="shared" si="3"/>
        <v>45782</v>
      </c>
      <c r="J212" s="8"/>
      <c r="K212" s="9"/>
      <c r="L212" s="10"/>
      <c r="M212" s="11">
        <v>0</v>
      </c>
      <c r="N212" s="6"/>
      <c r="O212" s="12"/>
      <c r="P212" s="6">
        <v>12</v>
      </c>
      <c r="Q212" s="6" t="s">
        <v>413</v>
      </c>
      <c r="R212" s="53" t="s">
        <v>1733</v>
      </c>
    </row>
    <row r="213" spans="1:18" x14ac:dyDescent="0.25">
      <c r="A213" s="2"/>
      <c r="B213" s="3" t="s">
        <v>435</v>
      </c>
      <c r="C213" s="51" t="s">
        <v>1711</v>
      </c>
      <c r="D213" s="55">
        <v>45635</v>
      </c>
      <c r="E213" s="5" t="s">
        <v>291</v>
      </c>
      <c r="F213" s="6"/>
      <c r="G213" s="7">
        <v>4.5781999999999998</v>
      </c>
      <c r="H213" s="2">
        <v>3500</v>
      </c>
      <c r="I213" s="61">
        <f t="shared" si="3"/>
        <v>16023.699999999999</v>
      </c>
      <c r="J213" s="8"/>
      <c r="K213" s="9"/>
      <c r="L213" s="10"/>
      <c r="M213" s="11">
        <v>0</v>
      </c>
      <c r="N213" s="6"/>
      <c r="O213" s="12"/>
      <c r="P213" s="6">
        <v>12</v>
      </c>
      <c r="Q213" s="6" t="s">
        <v>413</v>
      </c>
      <c r="R213" s="53" t="s">
        <v>1733</v>
      </c>
    </row>
    <row r="214" spans="1:18" x14ac:dyDescent="0.25">
      <c r="A214" s="2"/>
      <c r="B214" s="3" t="s">
        <v>436</v>
      </c>
      <c r="C214" s="51" t="s">
        <v>1711</v>
      </c>
      <c r="D214" s="55">
        <v>45635</v>
      </c>
      <c r="E214" s="5" t="s">
        <v>1762</v>
      </c>
      <c r="F214" s="6"/>
      <c r="G214" s="7">
        <v>4.5781999999999998</v>
      </c>
      <c r="H214" s="2">
        <v>2000</v>
      </c>
      <c r="I214" s="61">
        <f t="shared" si="3"/>
        <v>9156.4</v>
      </c>
      <c r="J214" s="8"/>
      <c r="K214" s="9"/>
      <c r="L214" s="10"/>
      <c r="M214" s="11">
        <v>0</v>
      </c>
      <c r="N214" s="6"/>
      <c r="O214" s="12"/>
      <c r="P214" s="6">
        <v>12</v>
      </c>
      <c r="Q214" s="6" t="s">
        <v>413</v>
      </c>
      <c r="R214" s="53" t="s">
        <v>1733</v>
      </c>
    </row>
    <row r="215" spans="1:18" x14ac:dyDescent="0.25">
      <c r="A215" s="2"/>
      <c r="B215" s="3" t="s">
        <v>437</v>
      </c>
      <c r="C215" s="51" t="s">
        <v>1711</v>
      </c>
      <c r="D215" s="55">
        <v>45635</v>
      </c>
      <c r="E215" s="5" t="s">
        <v>438</v>
      </c>
      <c r="F215" s="6"/>
      <c r="G215" s="7">
        <v>4.5781999999999998</v>
      </c>
      <c r="H215" s="2">
        <v>50000</v>
      </c>
      <c r="I215" s="61">
        <f t="shared" si="3"/>
        <v>228910</v>
      </c>
      <c r="J215" s="8"/>
      <c r="K215" s="9"/>
      <c r="L215" s="10"/>
      <c r="M215" s="11">
        <v>0</v>
      </c>
      <c r="N215" s="6"/>
      <c r="O215" s="12"/>
      <c r="P215" s="6">
        <v>12</v>
      </c>
      <c r="Q215" s="6" t="s">
        <v>413</v>
      </c>
      <c r="R215" s="53" t="s">
        <v>1733</v>
      </c>
    </row>
    <row r="216" spans="1:18" x14ac:dyDescent="0.25">
      <c r="A216" s="2"/>
      <c r="B216" s="3" t="s">
        <v>439</v>
      </c>
      <c r="C216" s="51" t="s">
        <v>1711</v>
      </c>
      <c r="D216" s="55">
        <v>45635</v>
      </c>
      <c r="E216" s="5" t="s">
        <v>1763</v>
      </c>
      <c r="F216" s="6"/>
      <c r="G216" s="7">
        <v>4.5781999999999998</v>
      </c>
      <c r="H216" s="2">
        <v>30000</v>
      </c>
      <c r="I216" s="61">
        <f t="shared" si="3"/>
        <v>137346</v>
      </c>
      <c r="J216" s="8"/>
      <c r="K216" s="9"/>
      <c r="L216" s="10"/>
      <c r="M216" s="11">
        <v>0</v>
      </c>
      <c r="N216" s="6"/>
      <c r="O216" s="12"/>
      <c r="P216" s="6">
        <v>12</v>
      </c>
      <c r="Q216" s="6" t="s">
        <v>413</v>
      </c>
      <c r="R216" s="53" t="s">
        <v>1733</v>
      </c>
    </row>
    <row r="217" spans="1:18" x14ac:dyDescent="0.25">
      <c r="A217" s="2"/>
      <c r="B217" s="3" t="s">
        <v>440</v>
      </c>
      <c r="C217" s="51" t="s">
        <v>1711</v>
      </c>
      <c r="D217" s="55">
        <v>45635</v>
      </c>
      <c r="E217" s="5" t="s">
        <v>441</v>
      </c>
      <c r="F217" s="6"/>
      <c r="G217" s="7">
        <v>4.5781999999999998</v>
      </c>
      <c r="H217" s="2">
        <v>8000</v>
      </c>
      <c r="I217" s="61">
        <f t="shared" si="3"/>
        <v>36625.599999999999</v>
      </c>
      <c r="J217" s="8"/>
      <c r="K217" s="9"/>
      <c r="L217" s="10"/>
      <c r="M217" s="11">
        <v>0</v>
      </c>
      <c r="N217" s="6"/>
      <c r="O217" s="12"/>
      <c r="P217" s="6">
        <v>12</v>
      </c>
      <c r="Q217" s="6" t="s">
        <v>413</v>
      </c>
      <c r="R217" s="53" t="s">
        <v>1733</v>
      </c>
    </row>
    <row r="218" spans="1:18" x14ac:dyDescent="0.25">
      <c r="A218" s="2"/>
      <c r="B218" s="3" t="s">
        <v>442</v>
      </c>
      <c r="C218" s="51" t="s">
        <v>1711</v>
      </c>
      <c r="D218" s="55">
        <v>45635</v>
      </c>
      <c r="E218" s="5" t="s">
        <v>443</v>
      </c>
      <c r="F218" s="6"/>
      <c r="G218" s="7">
        <v>4.5781999999999998</v>
      </c>
      <c r="H218" s="2">
        <v>10000</v>
      </c>
      <c r="I218" s="61">
        <f t="shared" si="3"/>
        <v>45782</v>
      </c>
      <c r="J218" s="8"/>
      <c r="K218" s="9"/>
      <c r="L218" s="10"/>
      <c r="M218" s="11">
        <v>0</v>
      </c>
      <c r="N218" s="6"/>
      <c r="O218" s="12"/>
      <c r="P218" s="6">
        <v>12</v>
      </c>
      <c r="Q218" s="6" t="s">
        <v>413</v>
      </c>
      <c r="R218" s="53" t="s">
        <v>1733</v>
      </c>
    </row>
    <row r="219" spans="1:18" x14ac:dyDescent="0.25">
      <c r="A219" s="2"/>
      <c r="B219" s="3" t="s">
        <v>444</v>
      </c>
      <c r="C219" s="51" t="s">
        <v>1711</v>
      </c>
      <c r="D219" s="55">
        <v>45635</v>
      </c>
      <c r="E219" s="5" t="s">
        <v>445</v>
      </c>
      <c r="F219" s="6"/>
      <c r="G219" s="7">
        <v>4.5781999999999998</v>
      </c>
      <c r="H219" s="2">
        <v>30000</v>
      </c>
      <c r="I219" s="61">
        <f t="shared" si="3"/>
        <v>137346</v>
      </c>
      <c r="J219" s="8"/>
      <c r="K219" s="9"/>
      <c r="L219" s="10"/>
      <c r="M219" s="11">
        <v>0</v>
      </c>
      <c r="N219" s="6"/>
      <c r="O219" s="12"/>
      <c r="P219" s="6">
        <v>12</v>
      </c>
      <c r="Q219" s="6" t="s">
        <v>413</v>
      </c>
      <c r="R219" s="53" t="s">
        <v>1733</v>
      </c>
    </row>
    <row r="220" spans="1:18" x14ac:dyDescent="0.25">
      <c r="A220" s="2"/>
      <c r="B220" s="3" t="s">
        <v>446</v>
      </c>
      <c r="C220" s="51" t="s">
        <v>1711</v>
      </c>
      <c r="D220" s="55">
        <v>45635</v>
      </c>
      <c r="E220" s="5" t="s">
        <v>445</v>
      </c>
      <c r="F220" s="6"/>
      <c r="G220" s="7">
        <v>4.5781999999999998</v>
      </c>
      <c r="H220" s="2">
        <v>7501</v>
      </c>
      <c r="I220" s="61">
        <f t="shared" si="3"/>
        <v>34341.078199999996</v>
      </c>
      <c r="J220" s="8"/>
      <c r="K220" s="9"/>
      <c r="L220" s="10"/>
      <c r="M220" s="11">
        <v>0</v>
      </c>
      <c r="N220" s="6"/>
      <c r="O220" s="12"/>
      <c r="P220" s="6">
        <v>12</v>
      </c>
      <c r="Q220" s="6" t="s">
        <v>413</v>
      </c>
      <c r="R220" s="53" t="s">
        <v>1733</v>
      </c>
    </row>
    <row r="221" spans="1:18" x14ac:dyDescent="0.25">
      <c r="A221" s="2"/>
      <c r="B221" s="3" t="s">
        <v>447</v>
      </c>
      <c r="C221" s="51" t="s">
        <v>1711</v>
      </c>
      <c r="D221" s="55">
        <v>45635</v>
      </c>
      <c r="E221" s="5" t="s">
        <v>1764</v>
      </c>
      <c r="F221" s="6"/>
      <c r="G221" s="7">
        <v>4.5781999999999998</v>
      </c>
      <c r="H221" s="2">
        <v>500</v>
      </c>
      <c r="I221" s="61">
        <f t="shared" si="3"/>
        <v>2289.1</v>
      </c>
      <c r="J221" s="8"/>
      <c r="K221" s="9"/>
      <c r="L221" s="10"/>
      <c r="M221" s="11">
        <v>0</v>
      </c>
      <c r="N221" s="6"/>
      <c r="O221" s="12"/>
      <c r="P221" s="6">
        <v>12</v>
      </c>
      <c r="Q221" s="6" t="s">
        <v>413</v>
      </c>
      <c r="R221" s="53" t="s">
        <v>1733</v>
      </c>
    </row>
    <row r="222" spans="1:18" x14ac:dyDescent="0.25">
      <c r="A222" s="2"/>
      <c r="B222" s="3" t="s">
        <v>448</v>
      </c>
      <c r="C222" s="51" t="s">
        <v>1711</v>
      </c>
      <c r="D222" s="55">
        <v>45635</v>
      </c>
      <c r="E222" s="5" t="s">
        <v>449</v>
      </c>
      <c r="F222" s="6"/>
      <c r="G222" s="33"/>
      <c r="H222" s="2">
        <v>0</v>
      </c>
      <c r="I222" s="61" t="str">
        <f t="shared" si="3"/>
        <v/>
      </c>
      <c r="J222" s="8"/>
      <c r="K222" s="9"/>
      <c r="L222" s="10"/>
      <c r="M222" s="11">
        <v>735750</v>
      </c>
      <c r="N222" s="6"/>
      <c r="O222" s="12"/>
      <c r="P222" s="6">
        <v>12</v>
      </c>
      <c r="Q222" s="6" t="s">
        <v>413</v>
      </c>
      <c r="R222" s="53" t="s">
        <v>1733</v>
      </c>
    </row>
    <row r="223" spans="1:18" x14ac:dyDescent="0.25">
      <c r="A223" s="2"/>
      <c r="B223" s="3" t="s">
        <v>450</v>
      </c>
      <c r="C223" s="46" t="s">
        <v>1711</v>
      </c>
      <c r="D223" s="55">
        <v>45602</v>
      </c>
      <c r="E223" s="5" t="s">
        <v>451</v>
      </c>
      <c r="F223" s="6"/>
      <c r="G223" s="7">
        <v>4.5781999999999998</v>
      </c>
      <c r="H223" s="2">
        <v>7501</v>
      </c>
      <c r="I223" s="61">
        <f t="shared" si="3"/>
        <v>34341.078199999996</v>
      </c>
      <c r="J223" s="8" t="s">
        <v>64</v>
      </c>
      <c r="K223" s="9"/>
      <c r="L223" s="10">
        <v>7501</v>
      </c>
      <c r="M223" s="11">
        <v>34341.078200000004</v>
      </c>
      <c r="N223" s="6"/>
      <c r="O223" s="12"/>
      <c r="P223" s="6">
        <v>11</v>
      </c>
      <c r="Q223" s="6" t="s">
        <v>452</v>
      </c>
      <c r="R223" s="53" t="s">
        <v>1733</v>
      </c>
    </row>
    <row r="224" spans="1:18" x14ac:dyDescent="0.25">
      <c r="A224" s="2"/>
      <c r="B224" s="3" t="s">
        <v>453</v>
      </c>
      <c r="C224" s="46" t="s">
        <v>1712</v>
      </c>
      <c r="D224" s="55">
        <v>45602</v>
      </c>
      <c r="E224" s="5" t="s">
        <v>1765</v>
      </c>
      <c r="F224" s="6"/>
      <c r="G224" s="7">
        <v>4.5781999999999998</v>
      </c>
      <c r="H224" s="2">
        <v>20000</v>
      </c>
      <c r="I224" s="61">
        <f t="shared" si="3"/>
        <v>91564</v>
      </c>
      <c r="J224" s="8" t="s">
        <v>69</v>
      </c>
      <c r="K224" s="9"/>
      <c r="L224" s="10">
        <v>2000</v>
      </c>
      <c r="M224" s="11">
        <v>9156.4</v>
      </c>
      <c r="N224" s="6"/>
      <c r="O224" s="12"/>
      <c r="P224" s="6">
        <v>11</v>
      </c>
      <c r="Q224" s="6" t="s">
        <v>452</v>
      </c>
      <c r="R224" s="53" t="s">
        <v>1733</v>
      </c>
    </row>
    <row r="225" spans="1:18" x14ac:dyDescent="0.25">
      <c r="A225" s="2"/>
      <c r="B225" s="3" t="s">
        <v>454</v>
      </c>
      <c r="C225" s="46" t="s">
        <v>234</v>
      </c>
      <c r="D225" s="55">
        <v>45602</v>
      </c>
      <c r="E225" s="5" t="s">
        <v>1766</v>
      </c>
      <c r="F225" s="6"/>
      <c r="G225" s="7">
        <v>4.5781999999999998</v>
      </c>
      <c r="H225" s="2">
        <v>40000</v>
      </c>
      <c r="I225" s="61">
        <f t="shared" si="3"/>
        <v>183128</v>
      </c>
      <c r="J225" s="8" t="s">
        <v>234</v>
      </c>
      <c r="K225" s="9"/>
      <c r="L225" s="10"/>
      <c r="M225" s="11">
        <v>0</v>
      </c>
      <c r="N225" s="6"/>
      <c r="O225" s="12"/>
      <c r="P225" s="6">
        <v>11</v>
      </c>
      <c r="Q225" s="6" t="s">
        <v>452</v>
      </c>
      <c r="R225" s="53" t="s">
        <v>1733</v>
      </c>
    </row>
    <row r="226" spans="1:18" x14ac:dyDescent="0.25">
      <c r="A226" s="2"/>
      <c r="B226" s="3" t="s">
        <v>455</v>
      </c>
      <c r="C226" s="46" t="s">
        <v>1711</v>
      </c>
      <c r="D226" s="55">
        <v>45602</v>
      </c>
      <c r="E226" s="5" t="s">
        <v>456</v>
      </c>
      <c r="F226" s="6"/>
      <c r="G226" s="7">
        <v>4.5781999999999998</v>
      </c>
      <c r="H226" s="2">
        <v>7500</v>
      </c>
      <c r="I226" s="61">
        <f t="shared" si="3"/>
        <v>34336.5</v>
      </c>
      <c r="J226" s="8" t="s">
        <v>64</v>
      </c>
      <c r="K226" s="9"/>
      <c r="L226" s="10">
        <v>7500</v>
      </c>
      <c r="M226" s="11">
        <v>34336.5</v>
      </c>
      <c r="N226" s="6"/>
      <c r="O226" s="12"/>
      <c r="P226" s="6">
        <v>11</v>
      </c>
      <c r="Q226" s="6" t="s">
        <v>452</v>
      </c>
      <c r="R226" s="53" t="s">
        <v>1733</v>
      </c>
    </row>
    <row r="227" spans="1:18" x14ac:dyDescent="0.25">
      <c r="A227" s="2"/>
      <c r="B227" s="3" t="s">
        <v>457</v>
      </c>
      <c r="C227" s="46" t="s">
        <v>1713</v>
      </c>
      <c r="D227" s="55">
        <v>45602</v>
      </c>
      <c r="E227" s="5" t="s">
        <v>458</v>
      </c>
      <c r="F227" s="6"/>
      <c r="G227" s="7">
        <v>4.5781999999999998</v>
      </c>
      <c r="H227" s="2">
        <v>10000</v>
      </c>
      <c r="I227" s="61">
        <f t="shared" si="3"/>
        <v>45782</v>
      </c>
      <c r="J227" s="8" t="s">
        <v>101</v>
      </c>
      <c r="K227" s="9"/>
      <c r="L227" s="10">
        <v>5000</v>
      </c>
      <c r="M227" s="11">
        <v>22891</v>
      </c>
      <c r="N227" s="6"/>
      <c r="O227" s="12"/>
      <c r="P227" s="6">
        <v>11</v>
      </c>
      <c r="Q227" s="6" t="s">
        <v>452</v>
      </c>
      <c r="R227" s="53" t="s">
        <v>1733</v>
      </c>
    </row>
    <row r="228" spans="1:18" x14ac:dyDescent="0.25">
      <c r="A228" s="2"/>
      <c r="B228" s="3" t="s">
        <v>459</v>
      </c>
      <c r="C228" s="46" t="s">
        <v>1713</v>
      </c>
      <c r="D228" s="55">
        <v>45590</v>
      </c>
      <c r="E228" s="5" t="s">
        <v>460</v>
      </c>
      <c r="F228" s="14"/>
      <c r="G228" s="32">
        <v>4.5781999999999998</v>
      </c>
      <c r="H228" s="13">
        <v>7501</v>
      </c>
      <c r="I228" s="61">
        <f t="shared" si="3"/>
        <v>34341.078199999996</v>
      </c>
      <c r="J228" s="20" t="s">
        <v>101</v>
      </c>
      <c r="K228" s="9"/>
      <c r="L228" s="21">
        <v>15000</v>
      </c>
      <c r="M228" s="15">
        <v>68673</v>
      </c>
      <c r="N228" s="6"/>
      <c r="O228" s="12"/>
      <c r="P228" s="6">
        <v>10</v>
      </c>
      <c r="Q228" s="6" t="s">
        <v>461</v>
      </c>
      <c r="R228" s="53" t="s">
        <v>1733</v>
      </c>
    </row>
    <row r="229" spans="1:18" x14ac:dyDescent="0.25">
      <c r="A229" s="2"/>
      <c r="B229" s="3" t="s">
        <v>462</v>
      </c>
      <c r="C229" s="46" t="s">
        <v>1711</v>
      </c>
      <c r="D229" s="55">
        <v>45590</v>
      </c>
      <c r="E229" s="5" t="s">
        <v>463</v>
      </c>
      <c r="F229" s="6"/>
      <c r="G229" s="7">
        <v>4.5781999999999998</v>
      </c>
      <c r="H229" s="2">
        <v>10000</v>
      </c>
      <c r="I229" s="61">
        <f t="shared" si="3"/>
        <v>45782</v>
      </c>
      <c r="J229" s="8" t="s">
        <v>64</v>
      </c>
      <c r="K229" s="9"/>
      <c r="L229" s="10">
        <v>10000</v>
      </c>
      <c r="M229" s="11">
        <v>45782</v>
      </c>
      <c r="N229" s="6"/>
      <c r="O229" s="12"/>
      <c r="P229" s="6">
        <v>10</v>
      </c>
      <c r="Q229" s="6" t="s">
        <v>461</v>
      </c>
      <c r="R229" s="53" t="s">
        <v>1733</v>
      </c>
    </row>
    <row r="230" spans="1:18" x14ac:dyDescent="0.25">
      <c r="A230" s="2"/>
      <c r="B230" s="3" t="s">
        <v>464</v>
      </c>
      <c r="C230" s="46" t="s">
        <v>234</v>
      </c>
      <c r="D230" s="55">
        <v>45590</v>
      </c>
      <c r="E230" s="5" t="s">
        <v>30</v>
      </c>
      <c r="F230" s="14"/>
      <c r="G230" s="32">
        <v>4.5781999999999998</v>
      </c>
      <c r="H230" s="13">
        <v>10000</v>
      </c>
      <c r="I230" s="61">
        <f t="shared" si="3"/>
        <v>45782</v>
      </c>
      <c r="J230" s="20" t="s">
        <v>234</v>
      </c>
      <c r="K230" s="9"/>
      <c r="L230" s="10"/>
      <c r="M230" s="15">
        <v>0</v>
      </c>
      <c r="N230" s="6"/>
      <c r="O230" s="12"/>
      <c r="P230" s="6">
        <v>10</v>
      </c>
      <c r="Q230" s="6" t="s">
        <v>461</v>
      </c>
      <c r="R230" s="53" t="s">
        <v>1733</v>
      </c>
    </row>
    <row r="231" spans="1:18" x14ac:dyDescent="0.25">
      <c r="A231" s="2"/>
      <c r="B231" s="3" t="s">
        <v>465</v>
      </c>
      <c r="C231" s="46" t="s">
        <v>1711</v>
      </c>
      <c r="D231" s="55">
        <v>45590</v>
      </c>
      <c r="E231" s="5" t="s">
        <v>466</v>
      </c>
      <c r="F231" s="14"/>
      <c r="G231" s="32">
        <v>4.5781999999999998</v>
      </c>
      <c r="H231" s="13">
        <v>20000</v>
      </c>
      <c r="I231" s="61">
        <f t="shared" si="3"/>
        <v>91564</v>
      </c>
      <c r="J231" s="20" t="s">
        <v>64</v>
      </c>
      <c r="K231" s="9"/>
      <c r="L231" s="21">
        <v>20000</v>
      </c>
      <c r="M231" s="15">
        <v>91564</v>
      </c>
      <c r="N231" s="6"/>
      <c r="O231" s="12"/>
      <c r="P231" s="6">
        <v>10</v>
      </c>
      <c r="Q231" s="6" t="s">
        <v>461</v>
      </c>
      <c r="R231" s="53" t="s">
        <v>1733</v>
      </c>
    </row>
    <row r="232" spans="1:18" x14ac:dyDescent="0.25">
      <c r="A232" s="2"/>
      <c r="B232" s="3" t="s">
        <v>467</v>
      </c>
      <c r="C232" s="46" t="s">
        <v>1711</v>
      </c>
      <c r="D232" s="55">
        <v>45590</v>
      </c>
      <c r="E232" s="5" t="s">
        <v>1762</v>
      </c>
      <c r="F232" s="6"/>
      <c r="G232" s="7">
        <v>4.5781999999999998</v>
      </c>
      <c r="H232" s="2">
        <v>20000</v>
      </c>
      <c r="I232" s="61">
        <f t="shared" si="3"/>
        <v>91564</v>
      </c>
      <c r="J232" s="8" t="s">
        <v>64</v>
      </c>
      <c r="K232" s="9"/>
      <c r="L232" s="10">
        <v>20000</v>
      </c>
      <c r="M232" s="11">
        <v>91564</v>
      </c>
      <c r="N232" s="6"/>
      <c r="O232" s="12"/>
      <c r="P232" s="6">
        <v>10</v>
      </c>
      <c r="Q232" s="6" t="s">
        <v>461</v>
      </c>
      <c r="R232" s="53" t="s">
        <v>1733</v>
      </c>
    </row>
    <row r="233" spans="1:18" x14ac:dyDescent="0.25">
      <c r="A233" s="2"/>
      <c r="B233" s="3" t="s">
        <v>468</v>
      </c>
      <c r="C233" s="46" t="s">
        <v>1713</v>
      </c>
      <c r="D233" s="55">
        <v>45590</v>
      </c>
      <c r="E233" s="5" t="s">
        <v>469</v>
      </c>
      <c r="F233" s="6"/>
      <c r="G233" s="7">
        <v>4.5781999999999998</v>
      </c>
      <c r="H233" s="2">
        <v>7500</v>
      </c>
      <c r="I233" s="61">
        <f t="shared" si="3"/>
        <v>34336.5</v>
      </c>
      <c r="J233" s="8" t="s">
        <v>101</v>
      </c>
      <c r="K233" s="9"/>
      <c r="L233" s="10">
        <v>15000</v>
      </c>
      <c r="M233" s="11">
        <v>68673</v>
      </c>
      <c r="N233" s="6"/>
      <c r="O233" s="12"/>
      <c r="P233" s="6">
        <v>10</v>
      </c>
      <c r="Q233" s="6" t="s">
        <v>461</v>
      </c>
      <c r="R233" s="53" t="s">
        <v>1733</v>
      </c>
    </row>
    <row r="234" spans="1:18" x14ac:dyDescent="0.25">
      <c r="A234" s="2"/>
      <c r="B234" s="3" t="s">
        <v>470</v>
      </c>
      <c r="C234" s="46" t="s">
        <v>1711</v>
      </c>
      <c r="D234" s="55">
        <v>45590</v>
      </c>
      <c r="E234" s="5" t="s">
        <v>471</v>
      </c>
      <c r="F234" s="6"/>
      <c r="G234" s="7">
        <v>4.5781999999999998</v>
      </c>
      <c r="H234" s="2">
        <v>50001</v>
      </c>
      <c r="I234" s="61">
        <f t="shared" si="3"/>
        <v>228914.57819999999</v>
      </c>
      <c r="J234" s="8" t="s">
        <v>64</v>
      </c>
      <c r="K234" s="9"/>
      <c r="L234" s="10">
        <v>50001</v>
      </c>
      <c r="M234" s="11">
        <v>228914.57819999999</v>
      </c>
      <c r="N234" s="6"/>
      <c r="O234" s="12"/>
      <c r="P234" s="6">
        <v>10</v>
      </c>
      <c r="Q234" s="6" t="s">
        <v>461</v>
      </c>
      <c r="R234" s="53" t="s">
        <v>1733</v>
      </c>
    </row>
    <row r="235" spans="1:18" x14ac:dyDescent="0.25">
      <c r="A235" s="2"/>
      <c r="B235" s="3" t="s">
        <v>472</v>
      </c>
      <c r="C235" s="46" t="s">
        <v>1711</v>
      </c>
      <c r="D235" s="55">
        <v>45590</v>
      </c>
      <c r="E235" s="5" t="s">
        <v>473</v>
      </c>
      <c r="F235" s="6"/>
      <c r="G235" s="7">
        <v>4.5781999999999998</v>
      </c>
      <c r="H235" s="2">
        <v>100000</v>
      </c>
      <c r="I235" s="61">
        <f t="shared" si="3"/>
        <v>457820</v>
      </c>
      <c r="J235" s="8" t="s">
        <v>64</v>
      </c>
      <c r="K235" s="9"/>
      <c r="L235" s="10">
        <v>100000</v>
      </c>
      <c r="M235" s="11">
        <v>457820</v>
      </c>
      <c r="N235" s="6"/>
      <c r="O235" s="12"/>
      <c r="P235" s="6">
        <v>10</v>
      </c>
      <c r="Q235" s="6" t="s">
        <v>461</v>
      </c>
      <c r="R235" s="53" t="s">
        <v>1734</v>
      </c>
    </row>
    <row r="236" spans="1:18" x14ac:dyDescent="0.25">
      <c r="A236" s="2"/>
      <c r="B236" s="3" t="s">
        <v>474</v>
      </c>
      <c r="C236" s="46" t="s">
        <v>234</v>
      </c>
      <c r="D236" s="55">
        <v>45590</v>
      </c>
      <c r="E236" s="5" t="s">
        <v>475</v>
      </c>
      <c r="F236" s="14"/>
      <c r="G236" s="7">
        <v>4.5781999999999998</v>
      </c>
      <c r="H236" s="2">
        <v>1500000</v>
      </c>
      <c r="I236" s="61">
        <f t="shared" si="3"/>
        <v>6867300</v>
      </c>
      <c r="J236" s="8" t="s">
        <v>234</v>
      </c>
      <c r="K236" s="9"/>
      <c r="L236" s="10"/>
      <c r="M236" s="11">
        <v>0</v>
      </c>
      <c r="N236" s="6"/>
      <c r="O236" s="12"/>
      <c r="P236" s="6">
        <v>10</v>
      </c>
      <c r="Q236" s="6" t="s">
        <v>461</v>
      </c>
      <c r="R236" s="53" t="s">
        <v>1734</v>
      </c>
    </row>
    <row r="237" spans="1:18" x14ac:dyDescent="0.25">
      <c r="A237" s="2"/>
      <c r="B237" s="3" t="s">
        <v>235</v>
      </c>
      <c r="C237" s="46" t="s">
        <v>1711</v>
      </c>
      <c r="D237" s="55">
        <v>45590</v>
      </c>
      <c r="E237" s="5" t="s">
        <v>476</v>
      </c>
      <c r="F237" s="6"/>
      <c r="G237" s="7">
        <v>4.5781999999999998</v>
      </c>
      <c r="H237" s="2">
        <v>1000</v>
      </c>
      <c r="I237" s="61">
        <f t="shared" si="3"/>
        <v>4578.2</v>
      </c>
      <c r="J237" s="8" t="s">
        <v>64</v>
      </c>
      <c r="K237" s="9"/>
      <c r="L237" s="10">
        <v>1000</v>
      </c>
      <c r="M237" s="11">
        <v>4578.2</v>
      </c>
      <c r="N237" s="6"/>
      <c r="O237" s="12"/>
      <c r="P237" s="6">
        <v>10</v>
      </c>
      <c r="Q237" s="6" t="s">
        <v>461</v>
      </c>
      <c r="R237" s="53" t="s">
        <v>1734</v>
      </c>
    </row>
    <row r="238" spans="1:18" x14ac:dyDescent="0.25">
      <c r="A238" s="2"/>
      <c r="B238" s="3" t="s">
        <v>477</v>
      </c>
      <c r="C238" s="46" t="s">
        <v>1711</v>
      </c>
      <c r="D238" s="55">
        <v>45590</v>
      </c>
      <c r="E238" s="5" t="s">
        <v>271</v>
      </c>
      <c r="F238" s="6"/>
      <c r="G238" s="7">
        <v>4.5781999999999998</v>
      </c>
      <c r="H238" s="2">
        <v>50000</v>
      </c>
      <c r="I238" s="61">
        <f t="shared" si="3"/>
        <v>228910</v>
      </c>
      <c r="J238" s="8" t="s">
        <v>64</v>
      </c>
      <c r="K238" s="9"/>
      <c r="L238" s="10">
        <v>50000</v>
      </c>
      <c r="M238" s="11">
        <v>228910</v>
      </c>
      <c r="N238" s="6"/>
      <c r="O238" s="12"/>
      <c r="P238" s="6">
        <v>10</v>
      </c>
      <c r="Q238" s="6" t="s">
        <v>461</v>
      </c>
      <c r="R238" s="53" t="s">
        <v>1734</v>
      </c>
    </row>
    <row r="239" spans="1:18" x14ac:dyDescent="0.25">
      <c r="A239" s="2"/>
      <c r="B239" s="3" t="s">
        <v>478</v>
      </c>
      <c r="C239" s="46" t="s">
        <v>234</v>
      </c>
      <c r="D239" s="55">
        <v>45590</v>
      </c>
      <c r="E239" s="5" t="s">
        <v>479</v>
      </c>
      <c r="F239" s="6"/>
      <c r="G239" s="7">
        <v>4.5781999999999998</v>
      </c>
      <c r="H239" s="2">
        <v>4000</v>
      </c>
      <c r="I239" s="61">
        <f t="shared" si="3"/>
        <v>18312.8</v>
      </c>
      <c r="J239" s="8" t="s">
        <v>234</v>
      </c>
      <c r="K239" s="9"/>
      <c r="L239" s="10"/>
      <c r="M239" s="11">
        <v>0</v>
      </c>
      <c r="N239" s="6"/>
      <c r="O239" s="12"/>
      <c r="P239" s="6">
        <v>10</v>
      </c>
      <c r="Q239" s="6" t="s">
        <v>461</v>
      </c>
      <c r="R239" s="53" t="s">
        <v>1734</v>
      </c>
    </row>
    <row r="240" spans="1:18" x14ac:dyDescent="0.25">
      <c r="A240" s="2"/>
      <c r="B240" s="3" t="s">
        <v>480</v>
      </c>
      <c r="C240" s="46" t="s">
        <v>234</v>
      </c>
      <c r="D240" s="55">
        <v>45590</v>
      </c>
      <c r="E240" s="5" t="s">
        <v>481</v>
      </c>
      <c r="F240" s="6"/>
      <c r="G240" s="7">
        <v>4.5781999999999998</v>
      </c>
      <c r="H240" s="2">
        <v>20000</v>
      </c>
      <c r="I240" s="61">
        <f t="shared" si="3"/>
        <v>91564</v>
      </c>
      <c r="J240" s="8" t="s">
        <v>234</v>
      </c>
      <c r="K240" s="9"/>
      <c r="L240" s="10"/>
      <c r="M240" s="11">
        <v>0</v>
      </c>
      <c r="N240" s="6"/>
      <c r="O240" s="12"/>
      <c r="P240" s="6">
        <v>10</v>
      </c>
      <c r="Q240" s="6" t="s">
        <v>461</v>
      </c>
      <c r="R240" s="53" t="s">
        <v>1734</v>
      </c>
    </row>
    <row r="241" spans="1:18" x14ac:dyDescent="0.25">
      <c r="A241" s="2"/>
      <c r="B241" s="3" t="s">
        <v>482</v>
      </c>
      <c r="C241" s="46" t="s">
        <v>1711</v>
      </c>
      <c r="D241" s="55">
        <v>45590</v>
      </c>
      <c r="E241" s="5" t="s">
        <v>1767</v>
      </c>
      <c r="F241" s="6"/>
      <c r="G241" s="7">
        <v>4.5781999999999998</v>
      </c>
      <c r="H241" s="2">
        <v>10000</v>
      </c>
      <c r="I241" s="61">
        <f t="shared" si="3"/>
        <v>45782</v>
      </c>
      <c r="J241" s="8" t="s">
        <v>64</v>
      </c>
      <c r="K241" s="9"/>
      <c r="L241" s="10">
        <v>10000</v>
      </c>
      <c r="M241" s="11">
        <v>45782</v>
      </c>
      <c r="N241" s="6"/>
      <c r="O241" s="12"/>
      <c r="P241" s="6">
        <v>10</v>
      </c>
      <c r="Q241" s="6" t="s">
        <v>461</v>
      </c>
      <c r="R241" s="53" t="s">
        <v>1734</v>
      </c>
    </row>
    <row r="242" spans="1:18" x14ac:dyDescent="0.25">
      <c r="A242" s="2"/>
      <c r="B242" s="3" t="s">
        <v>483</v>
      </c>
      <c r="C242" s="46" t="s">
        <v>1711</v>
      </c>
      <c r="D242" s="55">
        <v>45590</v>
      </c>
      <c r="E242" s="5" t="s">
        <v>484</v>
      </c>
      <c r="F242" s="6"/>
      <c r="G242" s="7">
        <v>4.5781999999999998</v>
      </c>
      <c r="H242" s="2">
        <v>5000</v>
      </c>
      <c r="I242" s="61">
        <f t="shared" si="3"/>
        <v>22891</v>
      </c>
      <c r="J242" s="8" t="s">
        <v>64</v>
      </c>
      <c r="K242" s="9"/>
      <c r="L242" s="10">
        <v>5000</v>
      </c>
      <c r="M242" s="11">
        <v>22891</v>
      </c>
      <c r="N242" s="6"/>
      <c r="O242" s="12"/>
      <c r="P242" s="6">
        <v>10</v>
      </c>
      <c r="Q242" s="6" t="s">
        <v>461</v>
      </c>
      <c r="R242" s="53" t="s">
        <v>1734</v>
      </c>
    </row>
    <row r="243" spans="1:18" x14ac:dyDescent="0.25">
      <c r="A243" s="2">
        <v>24</v>
      </c>
      <c r="B243" s="16" t="s">
        <v>485</v>
      </c>
      <c r="C243" s="50" t="s">
        <v>1711</v>
      </c>
      <c r="D243" s="55">
        <v>45786</v>
      </c>
      <c r="E243" s="17" t="s">
        <v>486</v>
      </c>
      <c r="F243" s="6"/>
      <c r="G243" s="7">
        <v>4.5781999999999998</v>
      </c>
      <c r="H243" s="2">
        <v>50000</v>
      </c>
      <c r="I243" s="61">
        <f t="shared" si="3"/>
        <v>228910</v>
      </c>
      <c r="J243" s="8" t="s">
        <v>64</v>
      </c>
      <c r="K243" s="9"/>
      <c r="L243" s="10">
        <v>50000</v>
      </c>
      <c r="M243" s="11">
        <v>228910</v>
      </c>
      <c r="N243" s="6"/>
      <c r="O243" s="12"/>
      <c r="P243" s="6">
        <v>5</v>
      </c>
      <c r="Q243" s="6" t="s">
        <v>487</v>
      </c>
      <c r="R243" s="53" t="s">
        <v>1734</v>
      </c>
    </row>
    <row r="244" spans="1:18" x14ac:dyDescent="0.25">
      <c r="A244" s="2"/>
      <c r="B244" s="16" t="s">
        <v>488</v>
      </c>
      <c r="C244" s="50" t="s">
        <v>1711</v>
      </c>
      <c r="D244" s="55">
        <v>45555</v>
      </c>
      <c r="E244" s="17" t="s">
        <v>489</v>
      </c>
      <c r="F244" s="6"/>
      <c r="G244" s="7">
        <v>4.5781999999999998</v>
      </c>
      <c r="H244" s="2">
        <v>7500</v>
      </c>
      <c r="I244" s="61">
        <f t="shared" si="3"/>
        <v>34336.5</v>
      </c>
      <c r="J244" s="8" t="s">
        <v>64</v>
      </c>
      <c r="K244" s="9"/>
      <c r="L244" s="10">
        <v>7500</v>
      </c>
      <c r="M244" s="11">
        <v>34336.5</v>
      </c>
      <c r="N244" s="6"/>
      <c r="O244" s="12"/>
      <c r="P244" s="6">
        <v>9</v>
      </c>
      <c r="Q244" s="6" t="s">
        <v>490</v>
      </c>
      <c r="R244" s="53" t="s">
        <v>1734</v>
      </c>
    </row>
    <row r="245" spans="1:18" x14ac:dyDescent="0.25">
      <c r="A245" s="2"/>
      <c r="B245" s="16" t="s">
        <v>491</v>
      </c>
      <c r="C245" s="50" t="s">
        <v>234</v>
      </c>
      <c r="D245" s="55">
        <v>45555</v>
      </c>
      <c r="E245" s="17" t="s">
        <v>492</v>
      </c>
      <c r="F245" s="6"/>
      <c r="G245" s="7">
        <v>4.5781999999999998</v>
      </c>
      <c r="H245" s="2">
        <v>10000</v>
      </c>
      <c r="I245" s="61">
        <f t="shared" si="3"/>
        <v>45782</v>
      </c>
      <c r="J245" s="8" t="s">
        <v>234</v>
      </c>
      <c r="K245" s="9"/>
      <c r="L245" s="10"/>
      <c r="M245" s="11">
        <v>0</v>
      </c>
      <c r="N245" s="6"/>
      <c r="O245" s="12"/>
      <c r="P245" s="6">
        <v>9</v>
      </c>
      <c r="Q245" s="6" t="s">
        <v>490</v>
      </c>
      <c r="R245" s="53" t="s">
        <v>1734</v>
      </c>
    </row>
    <row r="246" spans="1:18" x14ac:dyDescent="0.25">
      <c r="A246" s="2"/>
      <c r="B246" s="16" t="s">
        <v>493</v>
      </c>
      <c r="C246" s="50" t="s">
        <v>234</v>
      </c>
      <c r="D246" s="55">
        <v>45555</v>
      </c>
      <c r="E246" s="17" t="s">
        <v>492</v>
      </c>
      <c r="F246" s="6"/>
      <c r="G246" s="7">
        <v>4.5781999999999998</v>
      </c>
      <c r="H246" s="2">
        <v>7000</v>
      </c>
      <c r="I246" s="61">
        <f t="shared" si="3"/>
        <v>32047.399999999998</v>
      </c>
      <c r="J246" s="8" t="s">
        <v>234</v>
      </c>
      <c r="K246" s="9"/>
      <c r="L246" s="10"/>
      <c r="M246" s="11">
        <v>0</v>
      </c>
      <c r="N246" s="6"/>
      <c r="O246" s="12"/>
      <c r="P246" s="6">
        <v>9</v>
      </c>
      <c r="Q246" s="6" t="s">
        <v>490</v>
      </c>
      <c r="R246" s="53" t="s">
        <v>1734</v>
      </c>
    </row>
    <row r="247" spans="1:18" x14ac:dyDescent="0.25">
      <c r="A247" s="2"/>
      <c r="B247" s="16" t="s">
        <v>494</v>
      </c>
      <c r="C247" s="50" t="s">
        <v>1711</v>
      </c>
      <c r="D247" s="55">
        <v>45555</v>
      </c>
      <c r="E247" s="17" t="s">
        <v>495</v>
      </c>
      <c r="F247" s="6"/>
      <c r="G247" s="7">
        <v>4.5781999999999998</v>
      </c>
      <c r="H247" s="2">
        <v>1000</v>
      </c>
      <c r="I247" s="61">
        <f t="shared" si="3"/>
        <v>4578.2</v>
      </c>
      <c r="J247" s="8" t="s">
        <v>64</v>
      </c>
      <c r="K247" s="9"/>
      <c r="L247" s="10">
        <v>1000</v>
      </c>
      <c r="M247" s="11">
        <v>4578.2</v>
      </c>
      <c r="N247" s="6"/>
      <c r="O247" s="12"/>
      <c r="P247" s="6">
        <v>9</v>
      </c>
      <c r="Q247" s="6" t="s">
        <v>490</v>
      </c>
      <c r="R247" s="53" t="s">
        <v>1734</v>
      </c>
    </row>
    <row r="248" spans="1:18" x14ac:dyDescent="0.25">
      <c r="A248" s="2"/>
      <c r="B248" s="16" t="s">
        <v>496</v>
      </c>
      <c r="C248" s="50" t="s">
        <v>1711</v>
      </c>
      <c r="D248" s="55">
        <v>45555</v>
      </c>
      <c r="E248" s="17" t="s">
        <v>497</v>
      </c>
      <c r="F248" s="6"/>
      <c r="G248" s="7">
        <v>4.5781999999999998</v>
      </c>
      <c r="H248" s="2">
        <v>2000</v>
      </c>
      <c r="I248" s="61">
        <f t="shared" si="3"/>
        <v>9156.4</v>
      </c>
      <c r="J248" s="8" t="s">
        <v>64</v>
      </c>
      <c r="K248" s="9"/>
      <c r="L248" s="10">
        <v>2000</v>
      </c>
      <c r="M248" s="11">
        <v>9156.4</v>
      </c>
      <c r="N248" s="6"/>
      <c r="O248" s="12"/>
      <c r="P248" s="6">
        <v>9</v>
      </c>
      <c r="Q248" s="6" t="s">
        <v>490</v>
      </c>
      <c r="R248" s="53" t="s">
        <v>1734</v>
      </c>
    </row>
    <row r="249" spans="1:18" x14ac:dyDescent="0.25">
      <c r="A249" s="2"/>
      <c r="B249" s="16" t="s">
        <v>498</v>
      </c>
      <c r="C249" s="50" t="s">
        <v>1711</v>
      </c>
      <c r="D249" s="55">
        <v>45555</v>
      </c>
      <c r="E249" s="17" t="s">
        <v>499</v>
      </c>
      <c r="F249" s="6"/>
      <c r="G249" s="7">
        <v>4.5781999999999998</v>
      </c>
      <c r="H249" s="2">
        <v>250</v>
      </c>
      <c r="I249" s="61">
        <f t="shared" si="3"/>
        <v>1144.55</v>
      </c>
      <c r="J249" s="8" t="s">
        <v>64</v>
      </c>
      <c r="K249" s="9"/>
      <c r="L249" s="10">
        <v>250</v>
      </c>
      <c r="M249" s="11">
        <v>1144.55</v>
      </c>
      <c r="N249" s="6"/>
      <c r="O249" s="12"/>
      <c r="P249" s="6">
        <v>9</v>
      </c>
      <c r="Q249" s="6" t="s">
        <v>490</v>
      </c>
      <c r="R249" s="53" t="s">
        <v>1734</v>
      </c>
    </row>
    <row r="250" spans="1:18" x14ac:dyDescent="0.25">
      <c r="A250" s="2"/>
      <c r="B250" s="16" t="s">
        <v>500</v>
      </c>
      <c r="C250" s="50" t="s">
        <v>1711</v>
      </c>
      <c r="D250" s="55">
        <v>45555</v>
      </c>
      <c r="E250" s="17" t="s">
        <v>501</v>
      </c>
      <c r="F250" s="6"/>
      <c r="G250" s="7">
        <v>4.5781999999999998</v>
      </c>
      <c r="H250" s="2">
        <v>5000</v>
      </c>
      <c r="I250" s="61">
        <f t="shared" si="3"/>
        <v>22891</v>
      </c>
      <c r="J250" s="8" t="s">
        <v>64</v>
      </c>
      <c r="K250" s="9"/>
      <c r="L250" s="10">
        <v>5000</v>
      </c>
      <c r="M250" s="11">
        <v>22891</v>
      </c>
      <c r="N250" s="6"/>
      <c r="O250" s="12"/>
      <c r="P250" s="6">
        <v>9</v>
      </c>
      <c r="Q250" s="6" t="s">
        <v>490</v>
      </c>
      <c r="R250" s="53" t="s">
        <v>1734</v>
      </c>
    </row>
    <row r="251" spans="1:18" x14ac:dyDescent="0.25">
      <c r="A251" s="2"/>
      <c r="B251" s="16" t="s">
        <v>502</v>
      </c>
      <c r="C251" s="50" t="s">
        <v>1711</v>
      </c>
      <c r="D251" s="55">
        <v>45555</v>
      </c>
      <c r="E251" s="17" t="s">
        <v>503</v>
      </c>
      <c r="F251" s="6"/>
      <c r="G251" s="7">
        <v>4.5781999999999998</v>
      </c>
      <c r="H251" s="2">
        <v>50001</v>
      </c>
      <c r="I251" s="61">
        <f t="shared" si="3"/>
        <v>228914.57819999999</v>
      </c>
      <c r="J251" s="8" t="s">
        <v>64</v>
      </c>
      <c r="K251" s="9"/>
      <c r="L251" s="10">
        <v>50001</v>
      </c>
      <c r="M251" s="11">
        <v>228914.57819999999</v>
      </c>
      <c r="N251" s="6"/>
      <c r="O251" s="12"/>
      <c r="P251" s="6">
        <v>9</v>
      </c>
      <c r="Q251" s="6" t="s">
        <v>490</v>
      </c>
      <c r="R251" s="53" t="s">
        <v>1734</v>
      </c>
    </row>
    <row r="252" spans="1:18" x14ac:dyDescent="0.25">
      <c r="A252" s="2"/>
      <c r="B252" s="16" t="s">
        <v>504</v>
      </c>
      <c r="C252" s="50" t="s">
        <v>1711</v>
      </c>
      <c r="D252" s="55">
        <v>45555</v>
      </c>
      <c r="E252" s="17" t="s">
        <v>505</v>
      </c>
      <c r="F252" s="6"/>
      <c r="G252" s="7">
        <v>4.5781999999999998</v>
      </c>
      <c r="H252" s="2">
        <v>3500</v>
      </c>
      <c r="I252" s="61">
        <f t="shared" si="3"/>
        <v>16023.699999999999</v>
      </c>
      <c r="J252" s="8" t="s">
        <v>64</v>
      </c>
      <c r="K252" s="9"/>
      <c r="L252" s="10">
        <v>3500</v>
      </c>
      <c r="M252" s="11">
        <v>16023.7</v>
      </c>
      <c r="N252" s="6"/>
      <c r="O252" s="12"/>
      <c r="P252" s="6">
        <v>9</v>
      </c>
      <c r="Q252" s="6" t="s">
        <v>490</v>
      </c>
      <c r="R252" s="53" t="s">
        <v>1734</v>
      </c>
    </row>
    <row r="253" spans="1:18" x14ac:dyDescent="0.25">
      <c r="A253" s="2"/>
      <c r="B253" s="16" t="s">
        <v>506</v>
      </c>
      <c r="C253" s="50" t="s">
        <v>722</v>
      </c>
      <c r="D253" s="55">
        <v>45555</v>
      </c>
      <c r="E253" s="17" t="s">
        <v>507</v>
      </c>
      <c r="F253" s="6"/>
      <c r="G253" s="7">
        <v>4.5781999999999998</v>
      </c>
      <c r="H253" s="2">
        <v>50000</v>
      </c>
      <c r="I253" s="61">
        <f t="shared" si="3"/>
        <v>228910</v>
      </c>
      <c r="J253" s="8" t="s">
        <v>77</v>
      </c>
      <c r="K253" s="9"/>
      <c r="L253" s="29">
        <v>0</v>
      </c>
      <c r="M253" s="11">
        <v>0</v>
      </c>
      <c r="N253" s="6"/>
      <c r="O253" s="12"/>
      <c r="P253" s="6">
        <v>9</v>
      </c>
      <c r="Q253" s="6" t="s">
        <v>490</v>
      </c>
      <c r="R253" s="53" t="s">
        <v>1734</v>
      </c>
    </row>
    <row r="254" spans="1:18" x14ac:dyDescent="0.25">
      <c r="A254" s="2"/>
      <c r="B254" s="16" t="s">
        <v>508</v>
      </c>
      <c r="C254" s="50" t="s">
        <v>1711</v>
      </c>
      <c r="D254" s="55">
        <v>45555</v>
      </c>
      <c r="E254" s="17" t="s">
        <v>61</v>
      </c>
      <c r="F254" s="6"/>
      <c r="G254" s="7">
        <v>4.5781999999999998</v>
      </c>
      <c r="H254" s="2">
        <v>2000</v>
      </c>
      <c r="I254" s="61">
        <f t="shared" si="3"/>
        <v>9156.4</v>
      </c>
      <c r="J254" s="8" t="s">
        <v>64</v>
      </c>
      <c r="K254" s="9"/>
      <c r="L254" s="10">
        <v>2000</v>
      </c>
      <c r="M254" s="11">
        <v>9156.4</v>
      </c>
      <c r="N254" s="6"/>
      <c r="O254" s="12"/>
      <c r="P254" s="6">
        <v>9</v>
      </c>
      <c r="Q254" s="6" t="s">
        <v>490</v>
      </c>
      <c r="R254" s="53" t="s">
        <v>1734</v>
      </c>
    </row>
    <row r="255" spans="1:18" x14ac:dyDescent="0.25">
      <c r="A255" s="2"/>
      <c r="B255" s="16" t="s">
        <v>509</v>
      </c>
      <c r="C255" s="50" t="s">
        <v>1711</v>
      </c>
      <c r="D255" s="55">
        <v>45555</v>
      </c>
      <c r="E255" s="17" t="s">
        <v>61</v>
      </c>
      <c r="F255" s="6"/>
      <c r="G255" s="7">
        <v>4.5781999999999998</v>
      </c>
      <c r="H255" s="2">
        <v>2000</v>
      </c>
      <c r="I255" s="61">
        <f t="shared" si="3"/>
        <v>9156.4</v>
      </c>
      <c r="J255" s="8" t="s">
        <v>64</v>
      </c>
      <c r="K255" s="9"/>
      <c r="L255" s="10">
        <v>2000</v>
      </c>
      <c r="M255" s="11">
        <v>9156.4</v>
      </c>
      <c r="N255" s="6"/>
      <c r="O255" s="12"/>
      <c r="P255" s="6">
        <v>9</v>
      </c>
      <c r="Q255" s="6" t="s">
        <v>490</v>
      </c>
      <c r="R255" s="53" t="s">
        <v>1734</v>
      </c>
    </row>
    <row r="256" spans="1:18" x14ac:dyDescent="0.25">
      <c r="A256" s="2"/>
      <c r="B256" s="16" t="s">
        <v>510</v>
      </c>
      <c r="C256" s="50" t="s">
        <v>1711</v>
      </c>
      <c r="D256" s="55">
        <v>45555</v>
      </c>
      <c r="E256" s="17" t="s">
        <v>61</v>
      </c>
      <c r="F256" s="6"/>
      <c r="G256" s="7">
        <v>4.5781999999999998</v>
      </c>
      <c r="H256" s="2">
        <v>7501</v>
      </c>
      <c r="I256" s="61">
        <f t="shared" si="3"/>
        <v>34341.078199999996</v>
      </c>
      <c r="J256" s="8" t="s">
        <v>64</v>
      </c>
      <c r="K256" s="9"/>
      <c r="L256" s="10">
        <v>7501</v>
      </c>
      <c r="M256" s="11">
        <v>34341.078200000004</v>
      </c>
      <c r="N256" s="6"/>
      <c r="O256" s="12"/>
      <c r="P256" s="6">
        <v>9</v>
      </c>
      <c r="Q256" s="6" t="s">
        <v>490</v>
      </c>
      <c r="R256" s="53" t="s">
        <v>1734</v>
      </c>
    </row>
    <row r="257" spans="1:18" x14ac:dyDescent="0.25">
      <c r="A257" s="2"/>
      <c r="B257" s="16" t="s">
        <v>511</v>
      </c>
      <c r="C257" s="50" t="s">
        <v>234</v>
      </c>
      <c r="D257" s="55">
        <v>45555</v>
      </c>
      <c r="E257" s="17" t="s">
        <v>61</v>
      </c>
      <c r="F257" s="6"/>
      <c r="G257" s="7">
        <v>4.5781999999999998</v>
      </c>
      <c r="H257" s="2">
        <v>500000</v>
      </c>
      <c r="I257" s="61">
        <f t="shared" si="3"/>
        <v>2289100</v>
      </c>
      <c r="J257" s="8" t="s">
        <v>234</v>
      </c>
      <c r="K257" s="9"/>
      <c r="L257" s="10"/>
      <c r="M257" s="11">
        <v>0</v>
      </c>
      <c r="N257" s="6"/>
      <c r="O257" s="12"/>
      <c r="P257" s="6">
        <v>9</v>
      </c>
      <c r="Q257" s="6" t="s">
        <v>490</v>
      </c>
      <c r="R257" s="53" t="s">
        <v>1734</v>
      </c>
    </row>
    <row r="258" spans="1:18" x14ac:dyDescent="0.25">
      <c r="A258" s="2"/>
      <c r="B258" s="16" t="s">
        <v>512</v>
      </c>
      <c r="C258" s="50" t="s">
        <v>722</v>
      </c>
      <c r="D258" s="55">
        <v>45555</v>
      </c>
      <c r="E258" s="17" t="s">
        <v>513</v>
      </c>
      <c r="F258" s="6"/>
      <c r="G258" s="7">
        <v>4.5781999999999998</v>
      </c>
      <c r="H258" s="2">
        <v>1000</v>
      </c>
      <c r="I258" s="61">
        <f t="shared" si="3"/>
        <v>4578.2</v>
      </c>
      <c r="J258" s="8" t="s">
        <v>77</v>
      </c>
      <c r="K258" s="9"/>
      <c r="L258" s="29">
        <v>0</v>
      </c>
      <c r="M258" s="11">
        <v>0</v>
      </c>
      <c r="N258" s="6"/>
      <c r="O258" s="12"/>
      <c r="P258" s="6">
        <v>9</v>
      </c>
      <c r="Q258" s="6" t="s">
        <v>490</v>
      </c>
      <c r="R258" s="53" t="s">
        <v>1734</v>
      </c>
    </row>
    <row r="259" spans="1:18" x14ac:dyDescent="0.25">
      <c r="A259" s="2"/>
      <c r="B259" s="16" t="s">
        <v>514</v>
      </c>
      <c r="C259" s="50" t="s">
        <v>234</v>
      </c>
      <c r="D259" s="55">
        <v>45555</v>
      </c>
      <c r="E259" s="17" t="s">
        <v>515</v>
      </c>
      <c r="F259" s="6"/>
      <c r="G259" s="7">
        <v>4.5781999999999998</v>
      </c>
      <c r="H259" s="2">
        <v>55000</v>
      </c>
      <c r="I259" s="61">
        <f t="shared" ref="I259:I322" si="4">IF(H259&lt;&gt;0, G259*H259, "")</f>
        <v>251801</v>
      </c>
      <c r="J259" s="8" t="s">
        <v>234</v>
      </c>
      <c r="K259" s="9"/>
      <c r="L259" s="10"/>
      <c r="M259" s="11">
        <v>0</v>
      </c>
      <c r="N259" s="6"/>
      <c r="O259" s="12"/>
      <c r="P259" s="6">
        <v>9</v>
      </c>
      <c r="Q259" s="6" t="s">
        <v>490</v>
      </c>
      <c r="R259" s="53" t="s">
        <v>1734</v>
      </c>
    </row>
    <row r="260" spans="1:18" x14ac:dyDescent="0.25">
      <c r="A260" s="2"/>
      <c r="B260" s="16" t="s">
        <v>516</v>
      </c>
      <c r="C260" s="50" t="s">
        <v>1711</v>
      </c>
      <c r="D260" s="55">
        <v>45555</v>
      </c>
      <c r="E260" s="17" t="s">
        <v>517</v>
      </c>
      <c r="F260" s="6"/>
      <c r="G260" s="7">
        <v>4.5781999999999998</v>
      </c>
      <c r="H260" s="2">
        <v>2000</v>
      </c>
      <c r="I260" s="61">
        <f t="shared" si="4"/>
        <v>9156.4</v>
      </c>
      <c r="J260" s="8" t="s">
        <v>64</v>
      </c>
      <c r="K260" s="9"/>
      <c r="L260" s="10">
        <v>2000</v>
      </c>
      <c r="M260" s="11">
        <v>9156.4</v>
      </c>
      <c r="N260" s="6"/>
      <c r="O260" s="12"/>
      <c r="P260" s="6">
        <v>9</v>
      </c>
      <c r="Q260" s="6" t="s">
        <v>490</v>
      </c>
      <c r="R260" s="53" t="s">
        <v>1734</v>
      </c>
    </row>
    <row r="261" spans="1:18" x14ac:dyDescent="0.25">
      <c r="A261" s="2"/>
      <c r="B261" s="16" t="s">
        <v>518</v>
      </c>
      <c r="C261" s="50" t="s">
        <v>722</v>
      </c>
      <c r="D261" s="55">
        <v>45555</v>
      </c>
      <c r="E261" s="17" t="s">
        <v>135</v>
      </c>
      <c r="F261" s="6"/>
      <c r="G261" s="7">
        <v>4.5781999999999998</v>
      </c>
      <c r="H261" s="2">
        <v>160000</v>
      </c>
      <c r="I261" s="61">
        <f t="shared" si="4"/>
        <v>732512</v>
      </c>
      <c r="J261" s="8" t="s">
        <v>77</v>
      </c>
      <c r="K261" s="9"/>
      <c r="L261" s="29">
        <v>0</v>
      </c>
      <c r="M261" s="11">
        <v>0</v>
      </c>
      <c r="N261" s="6"/>
      <c r="O261" s="12"/>
      <c r="P261" s="6">
        <v>9</v>
      </c>
      <c r="Q261" s="6" t="s">
        <v>490</v>
      </c>
      <c r="R261" s="53" t="s">
        <v>1734</v>
      </c>
    </row>
    <row r="262" spans="1:18" x14ac:dyDescent="0.25">
      <c r="A262" s="2"/>
      <c r="B262" s="16" t="s">
        <v>519</v>
      </c>
      <c r="C262" s="50" t="s">
        <v>722</v>
      </c>
      <c r="D262" s="55">
        <v>45555</v>
      </c>
      <c r="E262" s="17" t="s">
        <v>520</v>
      </c>
      <c r="F262" s="6"/>
      <c r="G262" s="7">
        <v>4.5781999999999998</v>
      </c>
      <c r="H262" s="2">
        <v>2000</v>
      </c>
      <c r="I262" s="61">
        <f t="shared" si="4"/>
        <v>9156.4</v>
      </c>
      <c r="J262" s="8" t="s">
        <v>77</v>
      </c>
      <c r="K262" s="9"/>
      <c r="L262" s="29">
        <v>0</v>
      </c>
      <c r="M262" s="11">
        <v>0</v>
      </c>
      <c r="N262" s="6"/>
      <c r="O262" s="12"/>
      <c r="P262" s="6">
        <v>9</v>
      </c>
      <c r="Q262" s="6" t="s">
        <v>490</v>
      </c>
      <c r="R262" s="53" t="s">
        <v>1734</v>
      </c>
    </row>
    <row r="263" spans="1:18" x14ac:dyDescent="0.25">
      <c r="A263" s="2"/>
      <c r="B263" s="16" t="s">
        <v>521</v>
      </c>
      <c r="C263" s="50" t="s">
        <v>1711</v>
      </c>
      <c r="D263" s="55">
        <v>45555</v>
      </c>
      <c r="E263" s="17" t="s">
        <v>520</v>
      </c>
      <c r="F263" s="6"/>
      <c r="G263" s="7">
        <v>4.5781999999999998</v>
      </c>
      <c r="H263" s="2">
        <v>4500</v>
      </c>
      <c r="I263" s="61">
        <f t="shared" si="4"/>
        <v>20601.899999999998</v>
      </c>
      <c r="J263" s="8" t="s">
        <v>64</v>
      </c>
      <c r="K263" s="9"/>
      <c r="L263" s="10">
        <v>4500</v>
      </c>
      <c r="M263" s="11">
        <v>20601.900000000001</v>
      </c>
      <c r="N263" s="6"/>
      <c r="O263" s="12"/>
      <c r="P263" s="6">
        <v>9</v>
      </c>
      <c r="Q263" s="6" t="s">
        <v>490</v>
      </c>
      <c r="R263" s="53" t="s">
        <v>1734</v>
      </c>
    </row>
    <row r="264" spans="1:18" x14ac:dyDescent="0.25">
      <c r="A264" s="2"/>
      <c r="B264" s="16" t="s">
        <v>522</v>
      </c>
      <c r="C264" s="50" t="s">
        <v>1711</v>
      </c>
      <c r="D264" s="55">
        <v>45555</v>
      </c>
      <c r="E264" s="17" t="s">
        <v>520</v>
      </c>
      <c r="F264" s="6"/>
      <c r="G264" s="7">
        <v>4.5781999999999998</v>
      </c>
      <c r="H264" s="2">
        <v>500</v>
      </c>
      <c r="I264" s="61">
        <f t="shared" si="4"/>
        <v>2289.1</v>
      </c>
      <c r="J264" s="8" t="s">
        <v>64</v>
      </c>
      <c r="K264" s="9"/>
      <c r="L264" s="10">
        <v>500</v>
      </c>
      <c r="M264" s="11">
        <v>2289.1</v>
      </c>
      <c r="N264" s="6"/>
      <c r="O264" s="12"/>
      <c r="P264" s="6">
        <v>9</v>
      </c>
      <c r="Q264" s="6" t="s">
        <v>490</v>
      </c>
      <c r="R264" s="53" t="s">
        <v>1734</v>
      </c>
    </row>
    <row r="265" spans="1:18" x14ac:dyDescent="0.25">
      <c r="A265" s="2"/>
      <c r="B265" s="16" t="s">
        <v>523</v>
      </c>
      <c r="C265" s="50" t="s">
        <v>1711</v>
      </c>
      <c r="D265" s="55">
        <v>45555</v>
      </c>
      <c r="E265" s="17" t="s">
        <v>524</v>
      </c>
      <c r="F265" s="6"/>
      <c r="G265" s="7">
        <v>4.5781999999999998</v>
      </c>
      <c r="H265" s="2">
        <v>50000</v>
      </c>
      <c r="I265" s="61">
        <f t="shared" si="4"/>
        <v>228910</v>
      </c>
      <c r="J265" s="8" t="s">
        <v>64</v>
      </c>
      <c r="K265" s="9"/>
      <c r="L265" s="10">
        <v>50000</v>
      </c>
      <c r="M265" s="11">
        <v>228910</v>
      </c>
      <c r="N265" s="6"/>
      <c r="O265" s="12"/>
      <c r="P265" s="6">
        <v>9</v>
      </c>
      <c r="Q265" s="6" t="s">
        <v>490</v>
      </c>
      <c r="R265" s="53" t="s">
        <v>1734</v>
      </c>
    </row>
    <row r="266" spans="1:18" x14ac:dyDescent="0.25">
      <c r="A266" s="2"/>
      <c r="B266" s="16" t="s">
        <v>525</v>
      </c>
      <c r="C266" s="50" t="s">
        <v>1711</v>
      </c>
      <c r="D266" s="55">
        <v>45555</v>
      </c>
      <c r="E266" s="17" t="s">
        <v>526</v>
      </c>
      <c r="F266" s="6"/>
      <c r="G266" s="7">
        <v>4.5781999999999998</v>
      </c>
      <c r="H266" s="2">
        <v>5000</v>
      </c>
      <c r="I266" s="61">
        <f t="shared" si="4"/>
        <v>22891</v>
      </c>
      <c r="J266" s="8" t="s">
        <v>64</v>
      </c>
      <c r="K266" s="9"/>
      <c r="L266" s="10">
        <v>5000</v>
      </c>
      <c r="M266" s="11">
        <v>22891</v>
      </c>
      <c r="N266" s="6"/>
      <c r="O266" s="12"/>
      <c r="P266" s="6">
        <v>9</v>
      </c>
      <c r="Q266" s="6" t="s">
        <v>490</v>
      </c>
      <c r="R266" s="53" t="s">
        <v>1734</v>
      </c>
    </row>
    <row r="267" spans="1:18" x14ac:dyDescent="0.25">
      <c r="A267" s="2"/>
      <c r="B267" s="16" t="s">
        <v>527</v>
      </c>
      <c r="C267" s="50" t="s">
        <v>1711</v>
      </c>
      <c r="D267" s="55">
        <v>45555</v>
      </c>
      <c r="E267" s="17" t="s">
        <v>528</v>
      </c>
      <c r="F267" s="6"/>
      <c r="G267" s="7">
        <v>4.5781999999999998</v>
      </c>
      <c r="H267" s="2">
        <v>50001</v>
      </c>
      <c r="I267" s="61">
        <f t="shared" si="4"/>
        <v>228914.57819999999</v>
      </c>
      <c r="J267" s="8" t="s">
        <v>64</v>
      </c>
      <c r="K267" s="9"/>
      <c r="L267" s="10">
        <v>50001</v>
      </c>
      <c r="M267" s="11">
        <v>228914.57819999999</v>
      </c>
      <c r="N267" s="6"/>
      <c r="O267" s="12"/>
      <c r="P267" s="6">
        <v>9</v>
      </c>
      <c r="Q267" s="6" t="s">
        <v>490</v>
      </c>
      <c r="R267" s="53" t="s">
        <v>1734</v>
      </c>
    </row>
    <row r="268" spans="1:18" x14ac:dyDescent="0.25">
      <c r="A268" s="2"/>
      <c r="B268" s="3" t="s">
        <v>529</v>
      </c>
      <c r="C268" s="46" t="s">
        <v>722</v>
      </c>
      <c r="D268" s="55">
        <v>45531</v>
      </c>
      <c r="E268" s="5" t="s">
        <v>313</v>
      </c>
      <c r="F268" s="6"/>
      <c r="G268" s="7">
        <v>4.5781999999999998</v>
      </c>
      <c r="H268" s="2">
        <v>10000</v>
      </c>
      <c r="I268" s="61">
        <f t="shared" si="4"/>
        <v>45782</v>
      </c>
      <c r="J268" s="8" t="s">
        <v>77</v>
      </c>
      <c r="K268" s="9"/>
      <c r="L268" s="29">
        <v>0</v>
      </c>
      <c r="M268" s="11">
        <v>0</v>
      </c>
      <c r="N268" s="6"/>
      <c r="O268" s="12"/>
      <c r="P268" s="6">
        <v>8</v>
      </c>
      <c r="Q268" s="6" t="s">
        <v>530</v>
      </c>
      <c r="R268" s="53" t="s">
        <v>1734</v>
      </c>
    </row>
    <row r="269" spans="1:18" x14ac:dyDescent="0.25">
      <c r="A269" s="2"/>
      <c r="B269" s="16" t="s">
        <v>531</v>
      </c>
      <c r="C269" s="50" t="s">
        <v>722</v>
      </c>
      <c r="D269" s="55">
        <v>45531</v>
      </c>
      <c r="E269" s="5" t="s">
        <v>313</v>
      </c>
      <c r="F269" s="6"/>
      <c r="G269" s="7">
        <v>4.5781999999999998</v>
      </c>
      <c r="H269" s="2">
        <v>1500</v>
      </c>
      <c r="I269" s="61">
        <f t="shared" si="4"/>
        <v>6867.3</v>
      </c>
      <c r="J269" s="8" t="s">
        <v>77</v>
      </c>
      <c r="K269" s="9"/>
      <c r="L269" s="29">
        <v>0</v>
      </c>
      <c r="M269" s="11">
        <v>0</v>
      </c>
      <c r="N269" s="6"/>
      <c r="O269" s="12"/>
      <c r="P269" s="6">
        <v>8</v>
      </c>
      <c r="Q269" s="6" t="s">
        <v>530</v>
      </c>
      <c r="R269" s="53" t="s">
        <v>1734</v>
      </c>
    </row>
    <row r="270" spans="1:18" x14ac:dyDescent="0.25">
      <c r="A270" s="2"/>
      <c r="B270" s="16" t="s">
        <v>532</v>
      </c>
      <c r="C270" s="50" t="s">
        <v>1711</v>
      </c>
      <c r="D270" s="55">
        <v>45531</v>
      </c>
      <c r="E270" s="5" t="s">
        <v>313</v>
      </c>
      <c r="F270" s="6"/>
      <c r="G270" s="7">
        <v>4.5781999999999998</v>
      </c>
      <c r="H270" s="2">
        <v>3000</v>
      </c>
      <c r="I270" s="61">
        <f t="shared" si="4"/>
        <v>13734.6</v>
      </c>
      <c r="J270" s="8" t="s">
        <v>64</v>
      </c>
      <c r="K270" s="9"/>
      <c r="L270" s="10">
        <v>3000</v>
      </c>
      <c r="M270" s="11">
        <v>13734.6</v>
      </c>
      <c r="N270" s="6"/>
      <c r="O270" s="12"/>
      <c r="P270" s="6">
        <v>8</v>
      </c>
      <c r="Q270" s="6" t="s">
        <v>530</v>
      </c>
      <c r="R270" s="53" t="s">
        <v>1734</v>
      </c>
    </row>
    <row r="271" spans="1:18" x14ac:dyDescent="0.25">
      <c r="A271" s="2"/>
      <c r="B271" s="16" t="s">
        <v>533</v>
      </c>
      <c r="C271" s="50" t="s">
        <v>1711</v>
      </c>
      <c r="D271" s="55">
        <v>45531</v>
      </c>
      <c r="E271" s="5" t="s">
        <v>313</v>
      </c>
      <c r="F271" s="6"/>
      <c r="G271" s="7">
        <v>4.5781999999999998</v>
      </c>
      <c r="H271" s="2">
        <v>3000</v>
      </c>
      <c r="I271" s="61">
        <f t="shared" si="4"/>
        <v>13734.6</v>
      </c>
      <c r="J271" s="8" t="s">
        <v>64</v>
      </c>
      <c r="K271" s="9"/>
      <c r="L271" s="10">
        <v>3000</v>
      </c>
      <c r="M271" s="11">
        <v>13734.6</v>
      </c>
      <c r="N271" s="6"/>
      <c r="O271" s="12"/>
      <c r="P271" s="6">
        <v>8</v>
      </c>
      <c r="Q271" s="6" t="s">
        <v>530</v>
      </c>
      <c r="R271" s="53" t="s">
        <v>1734</v>
      </c>
    </row>
    <row r="272" spans="1:18" x14ac:dyDescent="0.25">
      <c r="A272" s="2"/>
      <c r="B272" s="16" t="s">
        <v>534</v>
      </c>
      <c r="C272" s="50" t="s">
        <v>234</v>
      </c>
      <c r="D272" s="55">
        <v>45531</v>
      </c>
      <c r="E272" s="5" t="s">
        <v>313</v>
      </c>
      <c r="F272" s="6"/>
      <c r="G272" s="7">
        <v>4.5781999999999998</v>
      </c>
      <c r="H272" s="2">
        <v>25000</v>
      </c>
      <c r="I272" s="61">
        <f t="shared" si="4"/>
        <v>114455</v>
      </c>
      <c r="J272" s="8" t="s">
        <v>234</v>
      </c>
      <c r="K272" s="9"/>
      <c r="L272" s="10"/>
      <c r="M272" s="11">
        <v>0</v>
      </c>
      <c r="N272" s="6"/>
      <c r="O272" s="12"/>
      <c r="P272" s="6">
        <v>8</v>
      </c>
      <c r="Q272" s="6" t="s">
        <v>530</v>
      </c>
      <c r="R272" s="53" t="s">
        <v>1734</v>
      </c>
    </row>
    <row r="273" spans="1:18" x14ac:dyDescent="0.25">
      <c r="A273" s="2"/>
      <c r="B273" s="3" t="s">
        <v>535</v>
      </c>
      <c r="C273" s="46" t="s">
        <v>234</v>
      </c>
      <c r="D273" s="55">
        <v>45531</v>
      </c>
      <c r="E273" s="5" t="s">
        <v>313</v>
      </c>
      <c r="F273" s="14"/>
      <c r="G273" s="7">
        <v>4.5781999999999998</v>
      </c>
      <c r="H273" s="2">
        <v>25000</v>
      </c>
      <c r="I273" s="61">
        <f t="shared" si="4"/>
        <v>114455</v>
      </c>
      <c r="J273" s="8" t="s">
        <v>234</v>
      </c>
      <c r="K273" s="9"/>
      <c r="L273" s="10"/>
      <c r="M273" s="11">
        <v>0</v>
      </c>
      <c r="N273" s="6"/>
      <c r="O273" s="12"/>
      <c r="P273" s="6">
        <v>8</v>
      </c>
      <c r="Q273" s="6" t="s">
        <v>530</v>
      </c>
      <c r="R273" s="53" t="s">
        <v>1734</v>
      </c>
    </row>
    <row r="274" spans="1:18" x14ac:dyDescent="0.25">
      <c r="A274" s="2"/>
      <c r="B274" s="16" t="s">
        <v>536</v>
      </c>
      <c r="C274" s="50" t="s">
        <v>1712</v>
      </c>
      <c r="D274" s="55">
        <v>45531</v>
      </c>
      <c r="E274" s="17" t="s">
        <v>537</v>
      </c>
      <c r="F274" s="6"/>
      <c r="G274" s="7">
        <v>4.5781999999999998</v>
      </c>
      <c r="H274" s="2">
        <v>50001</v>
      </c>
      <c r="I274" s="61">
        <f t="shared" si="4"/>
        <v>228914.57819999999</v>
      </c>
      <c r="J274" s="8" t="s">
        <v>69</v>
      </c>
      <c r="K274" s="9"/>
      <c r="L274" s="10">
        <v>7501</v>
      </c>
      <c r="M274" s="11">
        <v>34341.078200000004</v>
      </c>
      <c r="N274" s="6"/>
      <c r="O274" s="12"/>
      <c r="P274" s="6">
        <v>8</v>
      </c>
      <c r="Q274" s="6" t="s">
        <v>530</v>
      </c>
      <c r="R274" s="53" t="s">
        <v>1734</v>
      </c>
    </row>
    <row r="275" spans="1:18" x14ac:dyDescent="0.25">
      <c r="A275" s="2"/>
      <c r="B275" s="16" t="s">
        <v>538</v>
      </c>
      <c r="C275" s="50" t="s">
        <v>234</v>
      </c>
      <c r="D275" s="55">
        <v>45531</v>
      </c>
      <c r="E275" s="17" t="s">
        <v>539</v>
      </c>
      <c r="F275" s="6"/>
      <c r="G275" s="7">
        <v>4.5781999999999998</v>
      </c>
      <c r="H275" s="2">
        <v>15002</v>
      </c>
      <c r="I275" s="61">
        <f t="shared" si="4"/>
        <v>68682.156399999993</v>
      </c>
      <c r="J275" s="8" t="s">
        <v>234</v>
      </c>
      <c r="K275" s="9"/>
      <c r="L275" s="10"/>
      <c r="M275" s="11">
        <v>0</v>
      </c>
      <c r="N275" s="6"/>
      <c r="O275" s="12"/>
      <c r="P275" s="6">
        <v>8</v>
      </c>
      <c r="Q275" s="6" t="s">
        <v>530</v>
      </c>
      <c r="R275" s="53" t="s">
        <v>1734</v>
      </c>
    </row>
    <row r="276" spans="1:18" x14ac:dyDescent="0.25">
      <c r="A276" s="2"/>
      <c r="B276" s="16" t="s">
        <v>540</v>
      </c>
      <c r="C276" s="50" t="s">
        <v>722</v>
      </c>
      <c r="D276" s="55">
        <v>45531</v>
      </c>
      <c r="E276" s="17" t="s">
        <v>541</v>
      </c>
      <c r="F276" s="6"/>
      <c r="G276" s="7">
        <v>4.5781999999999998</v>
      </c>
      <c r="H276" s="2">
        <v>7500</v>
      </c>
      <c r="I276" s="61">
        <f t="shared" si="4"/>
        <v>34336.5</v>
      </c>
      <c r="J276" s="8" t="s">
        <v>77</v>
      </c>
      <c r="K276" s="9"/>
      <c r="L276" s="29">
        <v>0</v>
      </c>
      <c r="M276" s="11">
        <v>0</v>
      </c>
      <c r="N276" s="6"/>
      <c r="O276" s="12"/>
      <c r="P276" s="6">
        <v>8</v>
      </c>
      <c r="Q276" s="6" t="s">
        <v>530</v>
      </c>
      <c r="R276" s="53" t="s">
        <v>1734</v>
      </c>
    </row>
    <row r="277" spans="1:18" x14ac:dyDescent="0.25">
      <c r="A277" s="2"/>
      <c r="B277" s="16" t="s">
        <v>542</v>
      </c>
      <c r="C277" s="50" t="s">
        <v>722</v>
      </c>
      <c r="D277" s="55">
        <v>45531</v>
      </c>
      <c r="E277" s="17" t="s">
        <v>543</v>
      </c>
      <c r="F277" s="6"/>
      <c r="G277" s="7">
        <v>4.5781999999999998</v>
      </c>
      <c r="H277" s="2">
        <v>4500</v>
      </c>
      <c r="I277" s="61">
        <f t="shared" si="4"/>
        <v>20601.899999999998</v>
      </c>
      <c r="J277" s="8" t="s">
        <v>77</v>
      </c>
      <c r="K277" s="9"/>
      <c r="L277" s="29">
        <v>0</v>
      </c>
      <c r="M277" s="11">
        <v>0</v>
      </c>
      <c r="N277" s="6"/>
      <c r="O277" s="12"/>
      <c r="P277" s="6">
        <v>8</v>
      </c>
      <c r="Q277" s="6" t="s">
        <v>530</v>
      </c>
      <c r="R277" s="53" t="s">
        <v>1734</v>
      </c>
    </row>
    <row r="278" spans="1:18" x14ac:dyDescent="0.25">
      <c r="A278" s="2"/>
      <c r="B278" s="16" t="s">
        <v>544</v>
      </c>
      <c r="C278" s="50" t="s">
        <v>234</v>
      </c>
      <c r="D278" s="55">
        <v>45531</v>
      </c>
      <c r="E278" s="17" t="s">
        <v>507</v>
      </c>
      <c r="F278" s="6"/>
      <c r="G278" s="7">
        <v>4.5781999999999998</v>
      </c>
      <c r="H278" s="2">
        <v>100000</v>
      </c>
      <c r="I278" s="61">
        <f t="shared" si="4"/>
        <v>457820</v>
      </c>
      <c r="J278" s="8" t="s">
        <v>234</v>
      </c>
      <c r="K278" s="9"/>
      <c r="L278" s="10"/>
      <c r="M278" s="11">
        <v>0</v>
      </c>
      <c r="N278" s="6"/>
      <c r="O278" s="12"/>
      <c r="P278" s="6">
        <v>8</v>
      </c>
      <c r="Q278" s="6" t="s">
        <v>530</v>
      </c>
      <c r="R278" s="53" t="s">
        <v>1734</v>
      </c>
    </row>
    <row r="279" spans="1:18" x14ac:dyDescent="0.25">
      <c r="A279" s="2"/>
      <c r="B279" s="16" t="s">
        <v>545</v>
      </c>
      <c r="C279" s="50" t="s">
        <v>1712</v>
      </c>
      <c r="D279" s="55">
        <v>45531</v>
      </c>
      <c r="E279" s="17" t="s">
        <v>546</v>
      </c>
      <c r="F279" s="6"/>
      <c r="G279" s="7">
        <v>4.5781999999999998</v>
      </c>
      <c r="H279" s="2">
        <v>5000</v>
      </c>
      <c r="I279" s="61">
        <f t="shared" si="4"/>
        <v>22891</v>
      </c>
      <c r="J279" s="8" t="s">
        <v>69</v>
      </c>
      <c r="K279" s="9"/>
      <c r="L279" s="10">
        <v>2500</v>
      </c>
      <c r="M279" s="11">
        <v>11445.5</v>
      </c>
      <c r="N279" s="6"/>
      <c r="O279" s="12"/>
      <c r="P279" s="6">
        <v>8</v>
      </c>
      <c r="Q279" s="6" t="s">
        <v>530</v>
      </c>
      <c r="R279" s="53" t="s">
        <v>1734</v>
      </c>
    </row>
    <row r="280" spans="1:18" x14ac:dyDescent="0.25">
      <c r="A280" s="2"/>
      <c r="B280" s="16" t="s">
        <v>547</v>
      </c>
      <c r="C280" s="50" t="s">
        <v>1711</v>
      </c>
      <c r="D280" s="55">
        <v>45531</v>
      </c>
      <c r="E280" s="17" t="s">
        <v>548</v>
      </c>
      <c r="F280" s="6"/>
      <c r="G280" s="7">
        <v>4.5781999999999998</v>
      </c>
      <c r="H280" s="2">
        <v>50001</v>
      </c>
      <c r="I280" s="61">
        <f t="shared" si="4"/>
        <v>228914.57819999999</v>
      </c>
      <c r="J280" s="8" t="s">
        <v>64</v>
      </c>
      <c r="K280" s="9"/>
      <c r="L280" s="10">
        <v>50001</v>
      </c>
      <c r="M280" s="11">
        <v>228914.57819999999</v>
      </c>
      <c r="N280" s="6"/>
      <c r="O280" s="12"/>
      <c r="P280" s="6">
        <v>8</v>
      </c>
      <c r="Q280" s="6" t="s">
        <v>530</v>
      </c>
      <c r="R280" s="53" t="s">
        <v>1734</v>
      </c>
    </row>
    <row r="281" spans="1:18" x14ac:dyDescent="0.25">
      <c r="A281" s="2"/>
      <c r="B281" s="16" t="s">
        <v>549</v>
      </c>
      <c r="C281" s="50" t="s">
        <v>1711</v>
      </c>
      <c r="D281" s="55">
        <v>45531</v>
      </c>
      <c r="E281" s="17" t="s">
        <v>550</v>
      </c>
      <c r="F281" s="6"/>
      <c r="G281" s="7">
        <v>4.5781999999999998</v>
      </c>
      <c r="H281" s="2">
        <v>10000</v>
      </c>
      <c r="I281" s="61">
        <f t="shared" si="4"/>
        <v>45782</v>
      </c>
      <c r="J281" s="8" t="s">
        <v>64</v>
      </c>
      <c r="K281" s="9"/>
      <c r="L281" s="10">
        <v>10000</v>
      </c>
      <c r="M281" s="11">
        <v>45782</v>
      </c>
      <c r="N281" s="6"/>
      <c r="O281" s="12"/>
      <c r="P281" s="6">
        <v>8</v>
      </c>
      <c r="Q281" s="6" t="s">
        <v>530</v>
      </c>
      <c r="R281" s="53" t="s">
        <v>1734</v>
      </c>
    </row>
    <row r="282" spans="1:18" ht="25.5" x14ac:dyDescent="0.25">
      <c r="A282" s="2"/>
      <c r="B282" s="16" t="s">
        <v>551</v>
      </c>
      <c r="C282" s="50" t="s">
        <v>72</v>
      </c>
      <c r="D282" s="55">
        <v>45531</v>
      </c>
      <c r="E282" s="17" t="s">
        <v>552</v>
      </c>
      <c r="F282" s="6"/>
      <c r="G282" s="7">
        <v>4.5781999999999998</v>
      </c>
      <c r="H282" s="2">
        <v>50000</v>
      </c>
      <c r="I282" s="61">
        <f t="shared" si="4"/>
        <v>228910</v>
      </c>
      <c r="J282" s="8" t="s">
        <v>553</v>
      </c>
      <c r="K282" s="9"/>
      <c r="L282" s="10"/>
      <c r="M282" s="11">
        <v>0</v>
      </c>
      <c r="N282" s="6"/>
      <c r="O282" s="12"/>
      <c r="P282" s="6">
        <v>8</v>
      </c>
      <c r="Q282" s="6" t="s">
        <v>530</v>
      </c>
      <c r="R282" s="53" t="s">
        <v>1734</v>
      </c>
    </row>
    <row r="283" spans="1:18" ht="25.5" x14ac:dyDescent="0.25">
      <c r="A283" s="2"/>
      <c r="B283" s="16" t="s">
        <v>554</v>
      </c>
      <c r="C283" s="24" t="s">
        <v>72</v>
      </c>
      <c r="D283" s="55">
        <v>45531</v>
      </c>
      <c r="E283" s="17" t="s">
        <v>552</v>
      </c>
      <c r="F283" s="6"/>
      <c r="G283" s="7">
        <v>4.5781999999999998</v>
      </c>
      <c r="H283" s="2">
        <v>50000</v>
      </c>
      <c r="I283" s="61">
        <f t="shared" si="4"/>
        <v>228910</v>
      </c>
      <c r="J283" s="8" t="s">
        <v>553</v>
      </c>
      <c r="K283" s="9"/>
      <c r="L283" s="10"/>
      <c r="M283" s="11">
        <v>0</v>
      </c>
      <c r="N283" s="6"/>
      <c r="O283" s="12"/>
      <c r="P283" s="6">
        <v>8</v>
      </c>
      <c r="Q283" s="6" t="s">
        <v>530</v>
      </c>
      <c r="R283" s="53" t="s">
        <v>1734</v>
      </c>
    </row>
    <row r="284" spans="1:18" ht="25.5" x14ac:dyDescent="0.25">
      <c r="A284" s="2"/>
      <c r="B284" s="16" t="s">
        <v>523</v>
      </c>
      <c r="C284" s="50" t="s">
        <v>72</v>
      </c>
      <c r="D284" s="55">
        <v>45531</v>
      </c>
      <c r="E284" s="17" t="s">
        <v>524</v>
      </c>
      <c r="F284" s="6"/>
      <c r="G284" s="7">
        <v>4.5781999999999998</v>
      </c>
      <c r="H284" s="2">
        <v>50000</v>
      </c>
      <c r="I284" s="61">
        <f t="shared" si="4"/>
        <v>228910</v>
      </c>
      <c r="J284" s="8" t="s">
        <v>555</v>
      </c>
      <c r="K284" s="9"/>
      <c r="L284" s="10"/>
      <c r="M284" s="11">
        <v>0</v>
      </c>
      <c r="N284" s="6"/>
      <c r="O284" s="12"/>
      <c r="P284" s="6">
        <v>8</v>
      </c>
      <c r="Q284" s="6" t="s">
        <v>530</v>
      </c>
      <c r="R284" s="53" t="s">
        <v>1734</v>
      </c>
    </row>
    <row r="285" spans="1:18" x14ac:dyDescent="0.25">
      <c r="A285" s="2"/>
      <c r="B285" s="3" t="s">
        <v>556</v>
      </c>
      <c r="C285" s="46" t="s">
        <v>1711</v>
      </c>
      <c r="D285" s="55">
        <v>45504</v>
      </c>
      <c r="E285" s="5" t="s">
        <v>557</v>
      </c>
      <c r="F285" s="14"/>
      <c r="G285" s="32">
        <v>4.5781999999999998</v>
      </c>
      <c r="H285" s="13">
        <v>0</v>
      </c>
      <c r="I285" s="61" t="str">
        <f t="shared" si="4"/>
        <v/>
      </c>
      <c r="J285" s="20" t="s">
        <v>64</v>
      </c>
      <c r="K285" s="9"/>
      <c r="L285" s="21">
        <v>14970</v>
      </c>
      <c r="M285" s="15">
        <v>14970</v>
      </c>
      <c r="N285" s="6"/>
      <c r="O285" s="12"/>
      <c r="P285" s="6">
        <v>7</v>
      </c>
      <c r="Q285" s="6" t="s">
        <v>558</v>
      </c>
      <c r="R285" s="53" t="s">
        <v>1734</v>
      </c>
    </row>
    <row r="286" spans="1:18" x14ac:dyDescent="0.25">
      <c r="A286" s="2"/>
      <c r="B286" s="3" t="s">
        <v>559</v>
      </c>
      <c r="C286" s="46" t="s">
        <v>1711</v>
      </c>
      <c r="D286" s="55">
        <v>45504</v>
      </c>
      <c r="E286" s="5" t="s">
        <v>560</v>
      </c>
      <c r="F286" s="14"/>
      <c r="G286" s="7">
        <v>4.5781999999999998</v>
      </c>
      <c r="H286" s="2">
        <v>50001</v>
      </c>
      <c r="I286" s="61">
        <f t="shared" si="4"/>
        <v>228914.57819999999</v>
      </c>
      <c r="J286" s="8" t="s">
        <v>64</v>
      </c>
      <c r="K286" s="9"/>
      <c r="L286" s="10">
        <v>50001</v>
      </c>
      <c r="M286" s="11">
        <v>228914.57819999999</v>
      </c>
      <c r="N286" s="6"/>
      <c r="O286" s="12"/>
      <c r="P286" s="6">
        <v>7</v>
      </c>
      <c r="Q286" s="6" t="s">
        <v>558</v>
      </c>
      <c r="R286" s="53" t="s">
        <v>1734</v>
      </c>
    </row>
    <row r="287" spans="1:18" ht="25.5" x14ac:dyDescent="0.25">
      <c r="A287" s="2"/>
      <c r="B287" s="3" t="s">
        <v>561</v>
      </c>
      <c r="C287" s="4" t="s">
        <v>72</v>
      </c>
      <c r="D287" s="55">
        <v>45504</v>
      </c>
      <c r="E287" s="5" t="s">
        <v>562</v>
      </c>
      <c r="F287" s="14"/>
      <c r="G287" s="7">
        <v>4.5781999999999998</v>
      </c>
      <c r="H287" s="2">
        <v>2000</v>
      </c>
      <c r="I287" s="61">
        <f t="shared" si="4"/>
        <v>9156.4</v>
      </c>
      <c r="J287" s="8" t="s">
        <v>563</v>
      </c>
      <c r="K287" s="9"/>
      <c r="L287" s="10"/>
      <c r="M287" s="11">
        <v>0</v>
      </c>
      <c r="N287" s="6"/>
      <c r="O287" s="12"/>
      <c r="P287" s="6">
        <v>7</v>
      </c>
      <c r="Q287" s="6" t="s">
        <v>558</v>
      </c>
      <c r="R287" s="53" t="s">
        <v>1734</v>
      </c>
    </row>
    <row r="288" spans="1:18" x14ac:dyDescent="0.25">
      <c r="A288" s="2"/>
      <c r="B288" s="3" t="s">
        <v>564</v>
      </c>
      <c r="C288" s="46" t="s">
        <v>1711</v>
      </c>
      <c r="D288" s="55">
        <v>45504</v>
      </c>
      <c r="E288" s="5" t="s">
        <v>1768</v>
      </c>
      <c r="F288" s="14"/>
      <c r="G288" s="7">
        <v>4.5781999999999998</v>
      </c>
      <c r="H288" s="2">
        <v>3000</v>
      </c>
      <c r="I288" s="61">
        <f t="shared" si="4"/>
        <v>13734.6</v>
      </c>
      <c r="J288" s="8" t="s">
        <v>64</v>
      </c>
      <c r="K288" s="9"/>
      <c r="L288" s="10">
        <v>3000</v>
      </c>
      <c r="M288" s="11">
        <v>13734.6</v>
      </c>
      <c r="N288" s="6"/>
      <c r="O288" s="12"/>
      <c r="P288" s="6">
        <v>7</v>
      </c>
      <c r="Q288" s="6" t="s">
        <v>558</v>
      </c>
      <c r="R288" s="53" t="s">
        <v>1734</v>
      </c>
    </row>
    <row r="289" spans="1:18" x14ac:dyDescent="0.25">
      <c r="A289" s="2"/>
      <c r="B289" s="3" t="s">
        <v>565</v>
      </c>
      <c r="C289" s="46" t="s">
        <v>1713</v>
      </c>
      <c r="D289" s="55">
        <v>45504</v>
      </c>
      <c r="E289" s="5" t="s">
        <v>566</v>
      </c>
      <c r="F289" s="14"/>
      <c r="G289" s="7">
        <v>4.5781999999999998</v>
      </c>
      <c r="H289" s="2">
        <v>50000</v>
      </c>
      <c r="I289" s="61">
        <f t="shared" si="4"/>
        <v>228910</v>
      </c>
      <c r="J289" s="8" t="s">
        <v>101</v>
      </c>
      <c r="K289" s="9"/>
      <c r="L289" s="10">
        <v>100000</v>
      </c>
      <c r="M289" s="11">
        <v>457820</v>
      </c>
      <c r="N289" s="6"/>
      <c r="O289" s="12"/>
      <c r="P289" s="6">
        <v>7</v>
      </c>
      <c r="Q289" s="6" t="s">
        <v>558</v>
      </c>
      <c r="R289" s="53" t="s">
        <v>1734</v>
      </c>
    </row>
    <row r="290" spans="1:18" x14ac:dyDescent="0.25">
      <c r="A290" s="2"/>
      <c r="B290" s="3" t="s">
        <v>567</v>
      </c>
      <c r="C290" s="46" t="s">
        <v>1711</v>
      </c>
      <c r="D290" s="55">
        <v>45504</v>
      </c>
      <c r="E290" s="5" t="s">
        <v>568</v>
      </c>
      <c r="F290" s="14"/>
      <c r="G290" s="7">
        <v>4.5781999999999998</v>
      </c>
      <c r="H290" s="2">
        <v>0</v>
      </c>
      <c r="I290" s="61" t="str">
        <f t="shared" si="4"/>
        <v/>
      </c>
      <c r="J290" s="8" t="s">
        <v>64</v>
      </c>
      <c r="K290" s="9"/>
      <c r="L290" s="10">
        <v>20500</v>
      </c>
      <c r="M290" s="11">
        <v>20500</v>
      </c>
      <c r="N290" s="6"/>
      <c r="O290" s="12"/>
      <c r="P290" s="6">
        <v>7</v>
      </c>
      <c r="Q290" s="6" t="s">
        <v>558</v>
      </c>
      <c r="R290" s="53" t="s">
        <v>1734</v>
      </c>
    </row>
    <row r="291" spans="1:18" x14ac:dyDescent="0.25">
      <c r="A291" s="2"/>
      <c r="B291" s="3" t="s">
        <v>569</v>
      </c>
      <c r="C291" s="46" t="s">
        <v>722</v>
      </c>
      <c r="D291" s="55">
        <v>45504</v>
      </c>
      <c r="E291" s="5" t="s">
        <v>570</v>
      </c>
      <c r="F291" s="14"/>
      <c r="G291" s="7">
        <v>4.5781999999999998</v>
      </c>
      <c r="H291" s="2">
        <v>100000</v>
      </c>
      <c r="I291" s="61">
        <f t="shared" si="4"/>
        <v>457820</v>
      </c>
      <c r="J291" s="8" t="s">
        <v>77</v>
      </c>
      <c r="K291" s="9"/>
      <c r="L291" s="29">
        <v>0</v>
      </c>
      <c r="M291" s="11">
        <v>0</v>
      </c>
      <c r="N291" s="6"/>
      <c r="O291" s="12"/>
      <c r="P291" s="6">
        <v>7</v>
      </c>
      <c r="Q291" s="6" t="s">
        <v>558</v>
      </c>
      <c r="R291" s="53" t="s">
        <v>1734</v>
      </c>
    </row>
    <row r="292" spans="1:18" x14ac:dyDescent="0.25">
      <c r="A292" s="2"/>
      <c r="B292" s="3" t="s">
        <v>571</v>
      </c>
      <c r="C292" s="46" t="s">
        <v>1711</v>
      </c>
      <c r="D292" s="55">
        <v>45504</v>
      </c>
      <c r="E292" s="5" t="s">
        <v>572</v>
      </c>
      <c r="F292" s="14"/>
      <c r="G292" s="7">
        <v>4.5781999999999998</v>
      </c>
      <c r="H292" s="2">
        <v>0</v>
      </c>
      <c r="I292" s="61" t="str">
        <f t="shared" si="4"/>
        <v/>
      </c>
      <c r="J292" s="8" t="s">
        <v>64</v>
      </c>
      <c r="K292" s="9"/>
      <c r="L292" s="10">
        <v>315600</v>
      </c>
      <c r="M292" s="11">
        <v>315600</v>
      </c>
      <c r="N292" s="6"/>
      <c r="O292" s="12"/>
      <c r="P292" s="6">
        <v>7</v>
      </c>
      <c r="Q292" s="6" t="s">
        <v>558</v>
      </c>
      <c r="R292" s="53" t="s">
        <v>1734</v>
      </c>
    </row>
    <row r="293" spans="1:18" x14ac:dyDescent="0.25">
      <c r="A293" s="2"/>
      <c r="B293" s="3" t="s">
        <v>573</v>
      </c>
      <c r="C293" s="46" t="s">
        <v>1711</v>
      </c>
      <c r="D293" s="55">
        <v>45504</v>
      </c>
      <c r="E293" s="5" t="s">
        <v>471</v>
      </c>
      <c r="F293" s="14"/>
      <c r="G293" s="7">
        <v>4.5781999999999998</v>
      </c>
      <c r="H293" s="2">
        <v>750000</v>
      </c>
      <c r="I293" s="61">
        <f t="shared" si="4"/>
        <v>3433650</v>
      </c>
      <c r="J293" s="8" t="s">
        <v>64</v>
      </c>
      <c r="K293" s="9"/>
      <c r="L293" s="10">
        <v>750000</v>
      </c>
      <c r="M293" s="11">
        <v>3433650</v>
      </c>
      <c r="N293" s="6"/>
      <c r="O293" s="12"/>
      <c r="P293" s="6">
        <v>7</v>
      </c>
      <c r="Q293" s="6" t="s">
        <v>558</v>
      </c>
      <c r="R293" s="53" t="s">
        <v>1734</v>
      </c>
    </row>
    <row r="294" spans="1:18" x14ac:dyDescent="0.25">
      <c r="A294" s="2"/>
      <c r="B294" s="3" t="s">
        <v>574</v>
      </c>
      <c r="C294" s="46" t="s">
        <v>1711</v>
      </c>
      <c r="D294" s="55">
        <v>45504</v>
      </c>
      <c r="E294" s="5" t="s">
        <v>575</v>
      </c>
      <c r="F294" s="14"/>
      <c r="G294" s="7">
        <v>4.5781999999999998</v>
      </c>
      <c r="H294" s="2">
        <v>0</v>
      </c>
      <c r="I294" s="61" t="str">
        <f t="shared" si="4"/>
        <v/>
      </c>
      <c r="J294" s="8" t="s">
        <v>64</v>
      </c>
      <c r="K294" s="9"/>
      <c r="L294" s="10">
        <v>110550</v>
      </c>
      <c r="M294" s="11">
        <v>110550</v>
      </c>
      <c r="N294" s="6"/>
      <c r="O294" s="12"/>
      <c r="P294" s="6">
        <v>7</v>
      </c>
      <c r="Q294" s="6" t="s">
        <v>558</v>
      </c>
      <c r="R294" s="53" t="s">
        <v>1734</v>
      </c>
    </row>
    <row r="295" spans="1:18" x14ac:dyDescent="0.25">
      <c r="A295" s="2"/>
      <c r="B295" s="3" t="s">
        <v>576</v>
      </c>
      <c r="C295" s="46" t="s">
        <v>1713</v>
      </c>
      <c r="D295" s="55">
        <v>45504</v>
      </c>
      <c r="E295" s="5" t="s">
        <v>577</v>
      </c>
      <c r="F295" s="14"/>
      <c r="G295" s="7">
        <v>4.5781999999999998</v>
      </c>
      <c r="H295" s="2">
        <v>0</v>
      </c>
      <c r="I295" s="61" t="str">
        <f t="shared" si="4"/>
        <v/>
      </c>
      <c r="J295" s="8" t="s">
        <v>101</v>
      </c>
      <c r="K295" s="9"/>
      <c r="L295" s="10">
        <v>601000</v>
      </c>
      <c r="M295" s="11">
        <v>0</v>
      </c>
      <c r="N295" s="6"/>
      <c r="O295" s="12"/>
      <c r="P295" s="6">
        <v>7</v>
      </c>
      <c r="Q295" s="6" t="s">
        <v>558</v>
      </c>
      <c r="R295" s="53" t="s">
        <v>1734</v>
      </c>
    </row>
    <row r="296" spans="1:18" x14ac:dyDescent="0.25">
      <c r="A296" s="2"/>
      <c r="B296" s="3" t="s">
        <v>578</v>
      </c>
      <c r="C296" s="46" t="s">
        <v>1712</v>
      </c>
      <c r="D296" s="55">
        <v>45504</v>
      </c>
      <c r="E296" s="5" t="s">
        <v>579</v>
      </c>
      <c r="F296" s="14"/>
      <c r="G296" s="7">
        <v>4.5781999999999998</v>
      </c>
      <c r="H296" s="2">
        <v>52500</v>
      </c>
      <c r="I296" s="61">
        <f t="shared" si="4"/>
        <v>240355.5</v>
      </c>
      <c r="J296" s="8" t="s">
        <v>69</v>
      </c>
      <c r="K296" s="9"/>
      <c r="L296" s="10">
        <v>9000</v>
      </c>
      <c r="M296" s="11">
        <v>41203.800000000003</v>
      </c>
      <c r="N296" s="6"/>
      <c r="O296" s="12"/>
      <c r="P296" s="6">
        <v>7</v>
      </c>
      <c r="Q296" s="6" t="s">
        <v>558</v>
      </c>
      <c r="R296" s="53" t="s">
        <v>1734</v>
      </c>
    </row>
    <row r="297" spans="1:18" x14ac:dyDescent="0.25">
      <c r="A297" s="2"/>
      <c r="B297" s="3" t="s">
        <v>580</v>
      </c>
      <c r="C297" s="46" t="s">
        <v>1711</v>
      </c>
      <c r="D297" s="55">
        <v>45504</v>
      </c>
      <c r="E297" s="5" t="s">
        <v>581</v>
      </c>
      <c r="F297" s="14"/>
      <c r="G297" s="7">
        <v>4.5781999999999998</v>
      </c>
      <c r="H297" s="2">
        <v>0</v>
      </c>
      <c r="I297" s="61" t="str">
        <f t="shared" si="4"/>
        <v/>
      </c>
      <c r="J297" s="8" t="s">
        <v>64</v>
      </c>
      <c r="K297" s="9"/>
      <c r="L297" s="10">
        <v>337500</v>
      </c>
      <c r="M297" s="11">
        <v>337500</v>
      </c>
      <c r="N297" s="6"/>
      <c r="O297" s="12"/>
      <c r="P297" s="6">
        <v>7</v>
      </c>
      <c r="Q297" s="6" t="s">
        <v>558</v>
      </c>
      <c r="R297" s="53" t="s">
        <v>1734</v>
      </c>
    </row>
    <row r="298" spans="1:18" x14ac:dyDescent="0.25">
      <c r="A298" s="2"/>
      <c r="B298" s="3" t="s">
        <v>582</v>
      </c>
      <c r="C298" s="46" t="s">
        <v>1711</v>
      </c>
      <c r="D298" s="55">
        <v>45504</v>
      </c>
      <c r="E298" s="5" t="s">
        <v>583</v>
      </c>
      <c r="F298" s="14"/>
      <c r="G298" s="7">
        <v>4.5781999999999998</v>
      </c>
      <c r="H298" s="2">
        <v>300000</v>
      </c>
      <c r="I298" s="61">
        <f t="shared" si="4"/>
        <v>1373460</v>
      </c>
      <c r="J298" s="8" t="s">
        <v>64</v>
      </c>
      <c r="K298" s="9"/>
      <c r="L298" s="10">
        <v>300000</v>
      </c>
      <c r="M298" s="11">
        <v>1373460</v>
      </c>
      <c r="N298" s="6"/>
      <c r="O298" s="12"/>
      <c r="P298" s="6">
        <v>7</v>
      </c>
      <c r="Q298" s="6" t="s">
        <v>558</v>
      </c>
      <c r="R298" s="53" t="s">
        <v>1734</v>
      </c>
    </row>
    <row r="299" spans="1:18" x14ac:dyDescent="0.25">
      <c r="A299" s="2"/>
      <c r="B299" s="3" t="s">
        <v>584</v>
      </c>
      <c r="C299" s="46" t="s">
        <v>1711</v>
      </c>
      <c r="D299" s="55">
        <v>45504</v>
      </c>
      <c r="E299" s="5" t="s">
        <v>585</v>
      </c>
      <c r="F299" s="14"/>
      <c r="G299" s="7">
        <v>4.5781999999999998</v>
      </c>
      <c r="H299" s="2">
        <v>0</v>
      </c>
      <c r="I299" s="61" t="str">
        <f t="shared" si="4"/>
        <v/>
      </c>
      <c r="J299" s="8" t="s">
        <v>64</v>
      </c>
      <c r="K299" s="9"/>
      <c r="L299" s="10">
        <v>4827.3</v>
      </c>
      <c r="M299" s="11">
        <v>4827.3</v>
      </c>
      <c r="N299" s="6"/>
      <c r="O299" s="12"/>
      <c r="P299" s="6">
        <v>7</v>
      </c>
      <c r="Q299" s="6" t="s">
        <v>558</v>
      </c>
      <c r="R299" s="53" t="s">
        <v>1734</v>
      </c>
    </row>
    <row r="300" spans="1:18" ht="25.5" x14ac:dyDescent="0.25">
      <c r="A300" s="2">
        <v>1</v>
      </c>
      <c r="B300" s="3" t="s">
        <v>586</v>
      </c>
      <c r="C300" s="4" t="s">
        <v>72</v>
      </c>
      <c r="D300" s="55">
        <v>45483</v>
      </c>
      <c r="E300" s="5" t="s">
        <v>587</v>
      </c>
      <c r="F300" s="6"/>
      <c r="G300" s="7">
        <v>4.5781999999999998</v>
      </c>
      <c r="H300" s="2">
        <v>7500</v>
      </c>
      <c r="I300" s="61">
        <f t="shared" si="4"/>
        <v>34336.5</v>
      </c>
      <c r="J300" s="8" t="s">
        <v>588</v>
      </c>
      <c r="K300" s="9"/>
      <c r="L300" s="10"/>
      <c r="M300" s="11">
        <v>0</v>
      </c>
      <c r="N300" s="6"/>
      <c r="O300" s="12"/>
      <c r="P300" s="6">
        <v>7</v>
      </c>
      <c r="Q300" s="6" t="s">
        <v>558</v>
      </c>
      <c r="R300" s="53" t="s">
        <v>1734</v>
      </c>
    </row>
    <row r="301" spans="1:18" x14ac:dyDescent="0.25">
      <c r="A301" s="2"/>
      <c r="B301" s="3" t="s">
        <v>589</v>
      </c>
      <c r="C301" s="46" t="s">
        <v>1711</v>
      </c>
      <c r="D301" s="55">
        <v>45483</v>
      </c>
      <c r="E301" s="5" t="s">
        <v>587</v>
      </c>
      <c r="F301" s="6"/>
      <c r="G301" s="7">
        <v>4.5781999999999998</v>
      </c>
      <c r="H301" s="2">
        <v>1500</v>
      </c>
      <c r="I301" s="61">
        <f t="shared" si="4"/>
        <v>6867.3</v>
      </c>
      <c r="J301" s="8" t="s">
        <v>64</v>
      </c>
      <c r="K301" s="9"/>
      <c r="L301" s="10">
        <v>1500</v>
      </c>
      <c r="M301" s="11">
        <v>6867.3</v>
      </c>
      <c r="N301" s="6"/>
      <c r="O301" s="12"/>
      <c r="P301" s="6">
        <v>7</v>
      </c>
      <c r="Q301" s="6" t="s">
        <v>558</v>
      </c>
      <c r="R301" s="53" t="s">
        <v>1734</v>
      </c>
    </row>
    <row r="302" spans="1:18" ht="25.5" x14ac:dyDescent="0.25">
      <c r="A302" s="2"/>
      <c r="B302" s="3" t="s">
        <v>590</v>
      </c>
      <c r="C302" s="4" t="s">
        <v>72</v>
      </c>
      <c r="D302" s="55">
        <v>45483</v>
      </c>
      <c r="E302" s="5" t="s">
        <v>587</v>
      </c>
      <c r="F302" s="6"/>
      <c r="G302" s="7">
        <v>4.5781999999999998</v>
      </c>
      <c r="H302" s="2">
        <v>7500</v>
      </c>
      <c r="I302" s="61">
        <f t="shared" si="4"/>
        <v>34336.5</v>
      </c>
      <c r="J302" s="8" t="s">
        <v>588</v>
      </c>
      <c r="K302" s="9"/>
      <c r="L302" s="10"/>
      <c r="M302" s="11">
        <v>0</v>
      </c>
      <c r="N302" s="6"/>
      <c r="O302" s="12"/>
      <c r="P302" s="6">
        <v>7</v>
      </c>
      <c r="Q302" s="6" t="s">
        <v>558</v>
      </c>
      <c r="R302" s="53" t="s">
        <v>1734</v>
      </c>
    </row>
    <row r="303" spans="1:18" x14ac:dyDescent="0.25">
      <c r="A303" s="2"/>
      <c r="B303" s="16" t="s">
        <v>591</v>
      </c>
      <c r="C303" s="46" t="s">
        <v>234</v>
      </c>
      <c r="D303" s="55">
        <v>45483</v>
      </c>
      <c r="E303" s="5" t="s">
        <v>592</v>
      </c>
      <c r="F303" s="6"/>
      <c r="G303" s="32">
        <v>4.5781999999999998</v>
      </c>
      <c r="H303" s="13">
        <v>7501</v>
      </c>
      <c r="I303" s="61">
        <f t="shared" si="4"/>
        <v>34341.078199999996</v>
      </c>
      <c r="J303" s="20" t="s">
        <v>234</v>
      </c>
      <c r="K303" s="9"/>
      <c r="L303" s="10"/>
      <c r="M303" s="15">
        <v>0</v>
      </c>
      <c r="N303" s="6"/>
      <c r="O303" s="12"/>
      <c r="P303" s="6">
        <v>7</v>
      </c>
      <c r="Q303" s="6" t="s">
        <v>558</v>
      </c>
      <c r="R303" s="53" t="s">
        <v>1734</v>
      </c>
    </row>
    <row r="304" spans="1:18" x14ac:dyDescent="0.25">
      <c r="A304" s="2"/>
      <c r="B304" s="16" t="s">
        <v>593</v>
      </c>
      <c r="C304" s="46" t="s">
        <v>234</v>
      </c>
      <c r="D304" s="55">
        <v>45483</v>
      </c>
      <c r="E304" s="5" t="s">
        <v>592</v>
      </c>
      <c r="F304" s="6"/>
      <c r="G304" s="32">
        <v>4.5781999999999998</v>
      </c>
      <c r="H304" s="13">
        <v>5000</v>
      </c>
      <c r="I304" s="61">
        <f t="shared" si="4"/>
        <v>22891</v>
      </c>
      <c r="J304" s="20" t="s">
        <v>234</v>
      </c>
      <c r="K304" s="9"/>
      <c r="L304" s="10"/>
      <c r="M304" s="15">
        <v>0</v>
      </c>
      <c r="N304" s="6"/>
      <c r="O304" s="12"/>
      <c r="P304" s="6">
        <v>7</v>
      </c>
      <c r="Q304" s="6" t="s">
        <v>558</v>
      </c>
      <c r="R304" s="53" t="s">
        <v>1734</v>
      </c>
    </row>
    <row r="305" spans="1:18" x14ac:dyDescent="0.25">
      <c r="A305" s="2"/>
      <c r="B305" s="3" t="s">
        <v>594</v>
      </c>
      <c r="C305" s="46" t="s">
        <v>1712</v>
      </c>
      <c r="D305" s="55">
        <v>45483</v>
      </c>
      <c r="E305" s="5" t="s">
        <v>595</v>
      </c>
      <c r="F305" s="6"/>
      <c r="G305" s="32">
        <v>4.5781999999999998</v>
      </c>
      <c r="H305" s="13">
        <v>50001</v>
      </c>
      <c r="I305" s="61">
        <f t="shared" si="4"/>
        <v>228914.57819999999</v>
      </c>
      <c r="J305" s="20" t="s">
        <v>69</v>
      </c>
      <c r="K305" s="9"/>
      <c r="L305" s="21">
        <v>7501</v>
      </c>
      <c r="M305" s="15">
        <v>34341.078200000004</v>
      </c>
      <c r="N305" s="6"/>
      <c r="O305" s="12"/>
      <c r="P305" s="6">
        <v>7</v>
      </c>
      <c r="Q305" s="6" t="s">
        <v>558</v>
      </c>
      <c r="R305" s="53" t="s">
        <v>1734</v>
      </c>
    </row>
    <row r="306" spans="1:18" x14ac:dyDescent="0.25">
      <c r="A306" s="2"/>
      <c r="B306" s="3" t="s">
        <v>596</v>
      </c>
      <c r="C306" s="46" t="s">
        <v>234</v>
      </c>
      <c r="D306" s="55">
        <v>45483</v>
      </c>
      <c r="E306" s="5" t="s">
        <v>597</v>
      </c>
      <c r="F306" s="6"/>
      <c r="G306" s="32">
        <v>4.5781999999999998</v>
      </c>
      <c r="H306" s="13">
        <v>1500000</v>
      </c>
      <c r="I306" s="61">
        <f t="shared" si="4"/>
        <v>6867300</v>
      </c>
      <c r="J306" s="20" t="s">
        <v>234</v>
      </c>
      <c r="K306" s="9"/>
      <c r="L306" s="10"/>
      <c r="M306" s="15">
        <v>0</v>
      </c>
      <c r="N306" s="6"/>
      <c r="O306" s="12"/>
      <c r="P306" s="6">
        <v>7</v>
      </c>
      <c r="Q306" s="6" t="s">
        <v>558</v>
      </c>
      <c r="R306" s="53" t="s">
        <v>1734</v>
      </c>
    </row>
    <row r="307" spans="1:18" ht="24" x14ac:dyDescent="0.25">
      <c r="A307" s="2"/>
      <c r="B307" s="3" t="s">
        <v>598</v>
      </c>
      <c r="C307" s="46" t="s">
        <v>1714</v>
      </c>
      <c r="D307" s="55">
        <v>45483</v>
      </c>
      <c r="E307" s="5" t="s">
        <v>599</v>
      </c>
      <c r="F307" s="6"/>
      <c r="G307" s="7">
        <v>4.5781999999999998</v>
      </c>
      <c r="H307" s="2">
        <v>0</v>
      </c>
      <c r="I307" s="61" t="str">
        <f t="shared" si="4"/>
        <v/>
      </c>
      <c r="J307" s="34" t="s">
        <v>600</v>
      </c>
      <c r="K307" s="9"/>
      <c r="L307" s="10"/>
      <c r="M307" s="11">
        <v>17675</v>
      </c>
      <c r="N307" s="6"/>
      <c r="O307" s="12"/>
      <c r="P307" s="6">
        <v>7</v>
      </c>
      <c r="Q307" s="6" t="s">
        <v>558</v>
      </c>
      <c r="R307" s="53" t="s">
        <v>1734</v>
      </c>
    </row>
    <row r="308" spans="1:18" x14ac:dyDescent="0.25">
      <c r="A308" s="2"/>
      <c r="B308" s="3" t="s">
        <v>601</v>
      </c>
      <c r="C308" s="46" t="s">
        <v>1711</v>
      </c>
      <c r="D308" s="55">
        <v>45483</v>
      </c>
      <c r="E308" s="5" t="s">
        <v>602</v>
      </c>
      <c r="F308" s="6"/>
      <c r="G308" s="7">
        <v>4.5781999999999998</v>
      </c>
      <c r="H308" s="2">
        <v>4000</v>
      </c>
      <c r="I308" s="61">
        <f t="shared" si="4"/>
        <v>18312.8</v>
      </c>
      <c r="J308" s="8" t="s">
        <v>64</v>
      </c>
      <c r="K308" s="9"/>
      <c r="L308" s="10">
        <v>4000</v>
      </c>
      <c r="M308" s="11">
        <v>18312.8</v>
      </c>
      <c r="N308" s="6"/>
      <c r="O308" s="12"/>
      <c r="P308" s="6">
        <v>7</v>
      </c>
      <c r="Q308" s="6" t="s">
        <v>558</v>
      </c>
      <c r="R308" s="53" t="s">
        <v>1736</v>
      </c>
    </row>
    <row r="309" spans="1:18" x14ac:dyDescent="0.25">
      <c r="A309" s="2"/>
      <c r="B309" s="3" t="s">
        <v>603</v>
      </c>
      <c r="C309" s="46" t="s">
        <v>722</v>
      </c>
      <c r="D309" s="56">
        <v>45483</v>
      </c>
      <c r="E309" s="5" t="s">
        <v>604</v>
      </c>
      <c r="F309" s="6"/>
      <c r="G309" s="32">
        <v>4.5781999999999998</v>
      </c>
      <c r="H309" s="13">
        <v>7000</v>
      </c>
      <c r="I309" s="61">
        <f t="shared" si="4"/>
        <v>32047.399999999998</v>
      </c>
      <c r="J309" s="20" t="s">
        <v>77</v>
      </c>
      <c r="K309" s="9"/>
      <c r="L309" s="29">
        <v>0</v>
      </c>
      <c r="M309" s="15">
        <v>0</v>
      </c>
      <c r="N309" s="6"/>
      <c r="O309" s="12"/>
      <c r="P309" s="6">
        <v>7</v>
      </c>
      <c r="Q309" s="6" t="s">
        <v>558</v>
      </c>
      <c r="R309" s="53" t="s">
        <v>1736</v>
      </c>
    </row>
    <row r="310" spans="1:18" ht="25.5" x14ac:dyDescent="0.25">
      <c r="A310" s="2"/>
      <c r="B310" s="3" t="s">
        <v>605</v>
      </c>
      <c r="C310" s="4" t="s">
        <v>72</v>
      </c>
      <c r="D310" s="55">
        <v>45483</v>
      </c>
      <c r="E310" s="5" t="s">
        <v>604</v>
      </c>
      <c r="F310" s="6"/>
      <c r="G310" s="7">
        <v>4.5781999999999998</v>
      </c>
      <c r="H310" s="2">
        <v>20000</v>
      </c>
      <c r="I310" s="61">
        <f t="shared" si="4"/>
        <v>91564</v>
      </c>
      <c r="J310" s="8" t="s">
        <v>588</v>
      </c>
      <c r="K310" s="9"/>
      <c r="L310" s="10"/>
      <c r="M310" s="11">
        <v>0</v>
      </c>
      <c r="N310" s="6"/>
      <c r="O310" s="12"/>
      <c r="P310" s="6">
        <v>7</v>
      </c>
      <c r="Q310" s="6" t="s">
        <v>558</v>
      </c>
      <c r="R310" s="53" t="s">
        <v>1736</v>
      </c>
    </row>
    <row r="311" spans="1:18" x14ac:dyDescent="0.25">
      <c r="A311" s="2"/>
      <c r="B311" s="3" t="s">
        <v>606</v>
      </c>
      <c r="C311" s="46" t="s">
        <v>1711</v>
      </c>
      <c r="D311" s="55">
        <v>45483</v>
      </c>
      <c r="E311" s="5" t="s">
        <v>607</v>
      </c>
      <c r="F311" s="6"/>
      <c r="G311" s="32">
        <v>4.5781999999999998</v>
      </c>
      <c r="H311" s="13">
        <v>0</v>
      </c>
      <c r="I311" s="61" t="str">
        <f t="shared" si="4"/>
        <v/>
      </c>
      <c r="J311" s="20" t="s">
        <v>64</v>
      </c>
      <c r="K311" s="9"/>
      <c r="L311" s="21">
        <v>30500</v>
      </c>
      <c r="M311" s="15">
        <v>30500</v>
      </c>
      <c r="N311" s="6"/>
      <c r="O311" s="12"/>
      <c r="P311" s="6">
        <v>7</v>
      </c>
      <c r="Q311" s="6" t="s">
        <v>558</v>
      </c>
      <c r="R311" s="53" t="s">
        <v>1736</v>
      </c>
    </row>
    <row r="312" spans="1:18" x14ac:dyDescent="0.25">
      <c r="A312" s="2"/>
      <c r="B312" s="3" t="s">
        <v>608</v>
      </c>
      <c r="C312" s="46" t="s">
        <v>1711</v>
      </c>
      <c r="D312" s="55">
        <v>45483</v>
      </c>
      <c r="E312" s="5" t="s">
        <v>607</v>
      </c>
      <c r="F312" s="6"/>
      <c r="G312" s="32">
        <v>4.5781999999999998</v>
      </c>
      <c r="H312" s="13">
        <v>0</v>
      </c>
      <c r="I312" s="61" t="str">
        <f t="shared" si="4"/>
        <v/>
      </c>
      <c r="J312" s="20" t="s">
        <v>64</v>
      </c>
      <c r="K312" s="9"/>
      <c r="L312" s="21">
        <v>100500</v>
      </c>
      <c r="M312" s="15">
        <v>100500</v>
      </c>
      <c r="N312" s="6"/>
      <c r="O312" s="12"/>
      <c r="P312" s="6">
        <v>7</v>
      </c>
      <c r="Q312" s="6" t="s">
        <v>558</v>
      </c>
      <c r="R312" s="53" t="s">
        <v>1736</v>
      </c>
    </row>
    <row r="313" spans="1:18" x14ac:dyDescent="0.25">
      <c r="A313" s="2"/>
      <c r="B313" s="3" t="s">
        <v>609</v>
      </c>
      <c r="C313" s="46" t="s">
        <v>1711</v>
      </c>
      <c r="D313" s="55">
        <v>45483</v>
      </c>
      <c r="E313" s="5" t="s">
        <v>607</v>
      </c>
      <c r="F313" s="6"/>
      <c r="G313" s="32">
        <v>4.5781999999999998</v>
      </c>
      <c r="H313" s="13">
        <v>250</v>
      </c>
      <c r="I313" s="61">
        <f t="shared" si="4"/>
        <v>1144.55</v>
      </c>
      <c r="J313" s="20" t="s">
        <v>64</v>
      </c>
      <c r="K313" s="9"/>
      <c r="L313" s="21">
        <v>250</v>
      </c>
      <c r="M313" s="15">
        <v>1144.55</v>
      </c>
      <c r="N313" s="6"/>
      <c r="O313" s="12"/>
      <c r="P313" s="6">
        <v>7</v>
      </c>
      <c r="Q313" s="6" t="s">
        <v>558</v>
      </c>
      <c r="R313" s="53" t="s">
        <v>1736</v>
      </c>
    </row>
    <row r="314" spans="1:18" x14ac:dyDescent="0.25">
      <c r="A314" s="2"/>
      <c r="B314" s="3" t="s">
        <v>610</v>
      </c>
      <c r="C314" s="46" t="s">
        <v>1711</v>
      </c>
      <c r="D314" s="55">
        <v>45483</v>
      </c>
      <c r="E314" s="5" t="s">
        <v>607</v>
      </c>
      <c r="F314" s="6"/>
      <c r="G314" s="32">
        <v>4.5781999999999998</v>
      </c>
      <c r="H314" s="13">
        <v>500</v>
      </c>
      <c r="I314" s="61">
        <f t="shared" si="4"/>
        <v>2289.1</v>
      </c>
      <c r="J314" s="20" t="s">
        <v>64</v>
      </c>
      <c r="K314" s="9"/>
      <c r="L314" s="21">
        <v>500</v>
      </c>
      <c r="M314" s="15">
        <v>2289.1</v>
      </c>
      <c r="N314" s="6"/>
      <c r="O314" s="12"/>
      <c r="P314" s="6">
        <v>7</v>
      </c>
      <c r="Q314" s="6" t="s">
        <v>558</v>
      </c>
      <c r="R314" s="53" t="s">
        <v>1736</v>
      </c>
    </row>
    <row r="315" spans="1:18" x14ac:dyDescent="0.25">
      <c r="A315" s="2"/>
      <c r="B315" s="3" t="s">
        <v>611</v>
      </c>
      <c r="C315" s="46" t="s">
        <v>1711</v>
      </c>
      <c r="D315" s="55">
        <v>45483</v>
      </c>
      <c r="E315" s="5" t="s">
        <v>612</v>
      </c>
      <c r="F315" s="6"/>
      <c r="G315" s="32">
        <v>4.5781999999999998</v>
      </c>
      <c r="H315" s="13">
        <v>50000</v>
      </c>
      <c r="I315" s="61">
        <f t="shared" si="4"/>
        <v>228910</v>
      </c>
      <c r="J315" s="20" t="s">
        <v>64</v>
      </c>
      <c r="K315" s="9"/>
      <c r="L315" s="21">
        <v>50000</v>
      </c>
      <c r="M315" s="15">
        <v>228910</v>
      </c>
      <c r="N315" s="6"/>
      <c r="O315" s="12"/>
      <c r="P315" s="6">
        <v>7</v>
      </c>
      <c r="Q315" s="6" t="s">
        <v>558</v>
      </c>
      <c r="R315" s="53" t="s">
        <v>1736</v>
      </c>
    </row>
    <row r="316" spans="1:18" x14ac:dyDescent="0.25">
      <c r="A316" s="2"/>
      <c r="B316" s="3" t="s">
        <v>613</v>
      </c>
      <c r="C316" s="46" t="s">
        <v>1711</v>
      </c>
      <c r="D316" s="55">
        <v>45483</v>
      </c>
      <c r="E316" s="5" t="s">
        <v>614</v>
      </c>
      <c r="F316" s="6"/>
      <c r="G316" s="32">
        <v>4.5781999999999998</v>
      </c>
      <c r="H316" s="13">
        <v>50000</v>
      </c>
      <c r="I316" s="61">
        <f t="shared" si="4"/>
        <v>228910</v>
      </c>
      <c r="J316" s="20" t="s">
        <v>64</v>
      </c>
      <c r="K316" s="9"/>
      <c r="L316" s="21">
        <v>50000</v>
      </c>
      <c r="M316" s="15">
        <v>228910</v>
      </c>
      <c r="N316" s="6"/>
      <c r="O316" s="12"/>
      <c r="P316" s="6">
        <v>7</v>
      </c>
      <c r="Q316" s="6" t="s">
        <v>558</v>
      </c>
      <c r="R316" s="53" t="s">
        <v>1736</v>
      </c>
    </row>
    <row r="317" spans="1:18" x14ac:dyDescent="0.25">
      <c r="A317" s="2"/>
      <c r="B317" s="3" t="s">
        <v>615</v>
      </c>
      <c r="C317" s="46" t="s">
        <v>722</v>
      </c>
      <c r="D317" s="55">
        <v>45483</v>
      </c>
      <c r="E317" s="5" t="s">
        <v>616</v>
      </c>
      <c r="F317" s="14"/>
      <c r="G317" s="32">
        <v>4.5781999999999998</v>
      </c>
      <c r="H317" s="13">
        <v>7000</v>
      </c>
      <c r="I317" s="61">
        <f t="shared" si="4"/>
        <v>32047.399999999998</v>
      </c>
      <c r="J317" s="20" t="s">
        <v>77</v>
      </c>
      <c r="K317" s="9"/>
      <c r="L317" s="29">
        <v>0</v>
      </c>
      <c r="M317" s="15">
        <v>0</v>
      </c>
      <c r="N317" s="6"/>
      <c r="O317" s="12"/>
      <c r="P317" s="6">
        <v>7</v>
      </c>
      <c r="Q317" s="6" t="s">
        <v>558</v>
      </c>
      <c r="R317" s="53" t="s">
        <v>1736</v>
      </c>
    </row>
    <row r="318" spans="1:18" x14ac:dyDescent="0.25">
      <c r="A318" s="2"/>
      <c r="B318" s="3" t="s">
        <v>617</v>
      </c>
      <c r="C318" s="46" t="s">
        <v>722</v>
      </c>
      <c r="D318" s="55">
        <v>45483</v>
      </c>
      <c r="E318" s="5" t="s">
        <v>616</v>
      </c>
      <c r="F318" s="14"/>
      <c r="G318" s="32">
        <v>4.5781999999999998</v>
      </c>
      <c r="H318" s="13">
        <v>2500</v>
      </c>
      <c r="I318" s="61">
        <f t="shared" si="4"/>
        <v>11445.5</v>
      </c>
      <c r="J318" s="20" t="s">
        <v>77</v>
      </c>
      <c r="K318" s="9"/>
      <c r="L318" s="29">
        <v>0</v>
      </c>
      <c r="M318" s="15">
        <v>0</v>
      </c>
      <c r="N318" s="6"/>
      <c r="O318" s="12"/>
      <c r="P318" s="6">
        <v>7</v>
      </c>
      <c r="Q318" s="6" t="s">
        <v>558</v>
      </c>
      <c r="R318" s="53" t="s">
        <v>1736</v>
      </c>
    </row>
    <row r="319" spans="1:18" x14ac:dyDescent="0.25">
      <c r="A319" s="2"/>
      <c r="B319" s="3" t="s">
        <v>618</v>
      </c>
      <c r="C319" s="46" t="s">
        <v>1711</v>
      </c>
      <c r="D319" s="55">
        <v>45483</v>
      </c>
      <c r="E319" s="5" t="s">
        <v>616</v>
      </c>
      <c r="F319" s="14"/>
      <c r="G319" s="32">
        <v>4.5781999999999998</v>
      </c>
      <c r="H319" s="13">
        <v>2000</v>
      </c>
      <c r="I319" s="61">
        <f t="shared" si="4"/>
        <v>9156.4</v>
      </c>
      <c r="J319" s="20" t="s">
        <v>64</v>
      </c>
      <c r="K319" s="9"/>
      <c r="L319" s="21">
        <v>2000</v>
      </c>
      <c r="M319" s="15">
        <v>9156.4</v>
      </c>
      <c r="N319" s="6"/>
      <c r="O319" s="12"/>
      <c r="P319" s="6">
        <v>7</v>
      </c>
      <c r="Q319" s="6" t="s">
        <v>558</v>
      </c>
      <c r="R319" s="53" t="s">
        <v>1736</v>
      </c>
    </row>
    <row r="320" spans="1:18" x14ac:dyDescent="0.25">
      <c r="A320" s="2"/>
      <c r="B320" s="3" t="s">
        <v>619</v>
      </c>
      <c r="C320" s="46" t="s">
        <v>1711</v>
      </c>
      <c r="D320" s="55">
        <v>45483</v>
      </c>
      <c r="E320" s="5" t="s">
        <v>620</v>
      </c>
      <c r="F320" s="14"/>
      <c r="G320" s="7">
        <v>4.5781999999999998</v>
      </c>
      <c r="H320" s="2">
        <v>0</v>
      </c>
      <c r="I320" s="61" t="str">
        <f t="shared" si="4"/>
        <v/>
      </c>
      <c r="J320" s="8" t="s">
        <v>64</v>
      </c>
      <c r="K320" s="9"/>
      <c r="L320" s="10">
        <v>10500</v>
      </c>
      <c r="M320" s="11">
        <v>10500</v>
      </c>
      <c r="N320" s="6"/>
      <c r="O320" s="12"/>
      <c r="P320" s="6">
        <v>7</v>
      </c>
      <c r="Q320" s="6" t="s">
        <v>558</v>
      </c>
      <c r="R320" s="53" t="s">
        <v>1736</v>
      </c>
    </row>
    <row r="321" spans="1:18" x14ac:dyDescent="0.25">
      <c r="A321" s="2"/>
      <c r="B321" s="3" t="s">
        <v>621</v>
      </c>
      <c r="C321" s="46" t="s">
        <v>722</v>
      </c>
      <c r="D321" s="55">
        <v>45483</v>
      </c>
      <c r="E321" s="5" t="s">
        <v>370</v>
      </c>
      <c r="F321" s="14"/>
      <c r="G321" s="7">
        <v>4.5781999999999998</v>
      </c>
      <c r="H321" s="2">
        <v>0</v>
      </c>
      <c r="I321" s="61" t="str">
        <f t="shared" si="4"/>
        <v/>
      </c>
      <c r="J321" s="8" t="s">
        <v>77</v>
      </c>
      <c r="K321" s="9"/>
      <c r="L321" s="29">
        <v>0</v>
      </c>
      <c r="M321" s="11">
        <v>448000</v>
      </c>
      <c r="N321" s="6"/>
      <c r="O321" s="12"/>
      <c r="P321" s="6">
        <v>7</v>
      </c>
      <c r="Q321" s="6" t="s">
        <v>558</v>
      </c>
      <c r="R321" s="53" t="s">
        <v>1736</v>
      </c>
    </row>
    <row r="322" spans="1:18" x14ac:dyDescent="0.25">
      <c r="A322" s="2"/>
      <c r="B322" s="3" t="s">
        <v>622</v>
      </c>
      <c r="C322" s="46" t="s">
        <v>1711</v>
      </c>
      <c r="D322" s="55">
        <v>45483</v>
      </c>
      <c r="E322" s="5" t="s">
        <v>370</v>
      </c>
      <c r="F322" s="14"/>
      <c r="G322" s="7">
        <v>4.5781999999999998</v>
      </c>
      <c r="H322" s="2">
        <v>0</v>
      </c>
      <c r="I322" s="61" t="str">
        <f t="shared" si="4"/>
        <v/>
      </c>
      <c r="J322" s="8" t="s">
        <v>64</v>
      </c>
      <c r="K322" s="9"/>
      <c r="L322" s="10">
        <v>215000</v>
      </c>
      <c r="M322" s="11">
        <v>215000</v>
      </c>
      <c r="N322" s="6"/>
      <c r="O322" s="12"/>
      <c r="P322" s="6">
        <v>7</v>
      </c>
      <c r="Q322" s="6" t="s">
        <v>558</v>
      </c>
      <c r="R322" s="53" t="s">
        <v>1736</v>
      </c>
    </row>
    <row r="323" spans="1:18" ht="25.5" x14ac:dyDescent="0.25">
      <c r="A323" s="2"/>
      <c r="B323" s="3" t="s">
        <v>37</v>
      </c>
      <c r="C323" s="4" t="s">
        <v>72</v>
      </c>
      <c r="D323" s="55">
        <v>45483</v>
      </c>
      <c r="E323" s="5" t="s">
        <v>623</v>
      </c>
      <c r="F323" s="14"/>
      <c r="G323" s="7">
        <v>4.5781999999999998</v>
      </c>
      <c r="H323" s="2">
        <v>50000</v>
      </c>
      <c r="I323" s="61">
        <f t="shared" ref="I323:I386" si="5">IF(H323&lt;&gt;0, G323*H323, "")</f>
        <v>228910</v>
      </c>
      <c r="J323" s="8" t="s">
        <v>624</v>
      </c>
      <c r="K323" s="9"/>
      <c r="L323" s="10"/>
      <c r="M323" s="11">
        <v>0</v>
      </c>
      <c r="N323" s="6"/>
      <c r="O323" s="12"/>
      <c r="P323" s="6">
        <v>7</v>
      </c>
      <c r="Q323" s="6" t="s">
        <v>558</v>
      </c>
      <c r="R323" s="53" t="s">
        <v>1736</v>
      </c>
    </row>
    <row r="324" spans="1:18" ht="25.5" x14ac:dyDescent="0.25">
      <c r="A324" s="2"/>
      <c r="B324" s="3" t="s">
        <v>625</v>
      </c>
      <c r="C324" s="4" t="s">
        <v>72</v>
      </c>
      <c r="D324" s="55">
        <v>45483</v>
      </c>
      <c r="E324" s="5" t="s">
        <v>626</v>
      </c>
      <c r="F324" s="14"/>
      <c r="G324" s="7">
        <v>4.5781999999999998</v>
      </c>
      <c r="H324" s="2">
        <v>1500</v>
      </c>
      <c r="I324" s="61">
        <f t="shared" si="5"/>
        <v>6867.3</v>
      </c>
      <c r="J324" s="8" t="s">
        <v>588</v>
      </c>
      <c r="K324" s="9"/>
      <c r="L324" s="10"/>
      <c r="M324" s="11">
        <v>0</v>
      </c>
      <c r="N324" s="6"/>
      <c r="O324" s="12"/>
      <c r="P324" s="6">
        <v>7</v>
      </c>
      <c r="Q324" s="6" t="s">
        <v>558</v>
      </c>
      <c r="R324" s="53" t="s">
        <v>1736</v>
      </c>
    </row>
    <row r="325" spans="1:18" x14ac:dyDescent="0.25">
      <c r="A325" s="2"/>
      <c r="B325" s="3" t="s">
        <v>627</v>
      </c>
      <c r="C325" s="46" t="s">
        <v>1711</v>
      </c>
      <c r="D325" s="55">
        <v>45483</v>
      </c>
      <c r="E325" s="5" t="s">
        <v>566</v>
      </c>
      <c r="F325" s="14"/>
      <c r="G325" s="7">
        <v>4.5781999999999998</v>
      </c>
      <c r="H325" s="2">
        <v>12000</v>
      </c>
      <c r="I325" s="61">
        <f t="shared" si="5"/>
        <v>54938.400000000001</v>
      </c>
      <c r="J325" s="8" t="s">
        <v>64</v>
      </c>
      <c r="K325" s="9"/>
      <c r="L325" s="10">
        <v>12000</v>
      </c>
      <c r="M325" s="11">
        <v>54938.400000000001</v>
      </c>
      <c r="N325" s="6"/>
      <c r="O325" s="12"/>
      <c r="P325" s="6">
        <v>7</v>
      </c>
      <c r="Q325" s="6" t="s">
        <v>558</v>
      </c>
      <c r="R325" s="53" t="s">
        <v>1736</v>
      </c>
    </row>
    <row r="326" spans="1:18" x14ac:dyDescent="0.25">
      <c r="A326" s="2"/>
      <c r="B326" s="3" t="s">
        <v>628</v>
      </c>
      <c r="C326" s="46" t="s">
        <v>1711</v>
      </c>
      <c r="D326" s="55">
        <v>45483</v>
      </c>
      <c r="E326" s="5" t="s">
        <v>629</v>
      </c>
      <c r="F326" s="14"/>
      <c r="G326" s="7">
        <v>4.5781999999999998</v>
      </c>
      <c r="H326" s="2">
        <v>0</v>
      </c>
      <c r="I326" s="61" t="str">
        <f t="shared" si="5"/>
        <v/>
      </c>
      <c r="J326" s="8" t="s">
        <v>64</v>
      </c>
      <c r="K326" s="9"/>
      <c r="L326" s="10">
        <v>70000</v>
      </c>
      <c r="M326" s="11">
        <v>70000</v>
      </c>
      <c r="N326" s="6"/>
      <c r="O326" s="12"/>
      <c r="P326" s="6">
        <v>7</v>
      </c>
      <c r="Q326" s="6" t="s">
        <v>558</v>
      </c>
      <c r="R326" s="53" t="s">
        <v>1736</v>
      </c>
    </row>
    <row r="327" spans="1:18" x14ac:dyDescent="0.25">
      <c r="A327" s="2"/>
      <c r="B327" s="3" t="s">
        <v>630</v>
      </c>
      <c r="C327" s="46" t="s">
        <v>1711</v>
      </c>
      <c r="D327" s="55">
        <v>45483</v>
      </c>
      <c r="E327" s="5" t="s">
        <v>629</v>
      </c>
      <c r="F327" s="14"/>
      <c r="G327" s="7">
        <v>4.5781999999999998</v>
      </c>
      <c r="H327" s="2">
        <v>0</v>
      </c>
      <c r="I327" s="61" t="str">
        <f t="shared" si="5"/>
        <v/>
      </c>
      <c r="J327" s="8" t="s">
        <v>64</v>
      </c>
      <c r="K327" s="9"/>
      <c r="L327" s="10">
        <v>80000</v>
      </c>
      <c r="M327" s="11">
        <v>80000</v>
      </c>
      <c r="N327" s="6"/>
      <c r="O327" s="12"/>
      <c r="P327" s="6">
        <v>7</v>
      </c>
      <c r="Q327" s="6" t="s">
        <v>558</v>
      </c>
      <c r="R327" s="53" t="s">
        <v>1736</v>
      </c>
    </row>
    <row r="328" spans="1:18" x14ac:dyDescent="0.25">
      <c r="A328" s="2"/>
      <c r="B328" s="3" t="s">
        <v>631</v>
      </c>
      <c r="C328" s="46" t="s">
        <v>1711</v>
      </c>
      <c r="D328" s="55">
        <v>45483</v>
      </c>
      <c r="E328" s="5" t="s">
        <v>632</v>
      </c>
      <c r="F328" s="14"/>
      <c r="G328" s="7">
        <v>4.5781999999999998</v>
      </c>
      <c r="H328" s="2">
        <v>0</v>
      </c>
      <c r="I328" s="61" t="str">
        <f t="shared" si="5"/>
        <v/>
      </c>
      <c r="J328" s="8" t="s">
        <v>64</v>
      </c>
      <c r="K328" s="9"/>
      <c r="L328" s="10">
        <v>102567.12</v>
      </c>
      <c r="M328" s="11">
        <v>102567.12</v>
      </c>
      <c r="N328" s="6"/>
      <c r="O328" s="12"/>
      <c r="P328" s="6">
        <v>7</v>
      </c>
      <c r="Q328" s="6" t="s">
        <v>558</v>
      </c>
      <c r="R328" s="53" t="s">
        <v>1736</v>
      </c>
    </row>
    <row r="329" spans="1:18" x14ac:dyDescent="0.25">
      <c r="A329" s="2"/>
      <c r="B329" s="3" t="s">
        <v>633</v>
      </c>
      <c r="C329" s="46" t="s">
        <v>1711</v>
      </c>
      <c r="D329" s="55">
        <v>45483</v>
      </c>
      <c r="E329" s="5" t="s">
        <v>632</v>
      </c>
      <c r="F329" s="14"/>
      <c r="G329" s="7">
        <v>4.5781999999999998</v>
      </c>
      <c r="H329" s="2">
        <v>500000</v>
      </c>
      <c r="I329" s="61">
        <f t="shared" si="5"/>
        <v>2289100</v>
      </c>
      <c r="J329" s="8" t="s">
        <v>64</v>
      </c>
      <c r="K329" s="9"/>
      <c r="L329" s="10">
        <v>500000</v>
      </c>
      <c r="M329" s="11">
        <v>2289100</v>
      </c>
      <c r="N329" s="6"/>
      <c r="O329" s="12"/>
      <c r="P329" s="6">
        <v>7</v>
      </c>
      <c r="Q329" s="6" t="s">
        <v>558</v>
      </c>
      <c r="R329" s="53" t="s">
        <v>1736</v>
      </c>
    </row>
    <row r="330" spans="1:18" x14ac:dyDescent="0.25">
      <c r="A330" s="2"/>
      <c r="B330" s="3" t="s">
        <v>634</v>
      </c>
      <c r="C330" s="46" t="s">
        <v>1711</v>
      </c>
      <c r="D330" s="55">
        <v>45483</v>
      </c>
      <c r="E330" s="5" t="s">
        <v>632</v>
      </c>
      <c r="F330" s="14"/>
      <c r="G330" s="7">
        <v>4.5781999999999998</v>
      </c>
      <c r="H330" s="2">
        <v>600000</v>
      </c>
      <c r="I330" s="61">
        <f t="shared" si="5"/>
        <v>2746920</v>
      </c>
      <c r="J330" s="8" t="s">
        <v>64</v>
      </c>
      <c r="K330" s="9"/>
      <c r="L330" s="10">
        <v>600000</v>
      </c>
      <c r="M330" s="11">
        <v>2746920</v>
      </c>
      <c r="N330" s="6"/>
      <c r="O330" s="12"/>
      <c r="P330" s="6">
        <v>7</v>
      </c>
      <c r="Q330" s="6" t="s">
        <v>558</v>
      </c>
      <c r="R330" s="53" t="s">
        <v>1736</v>
      </c>
    </row>
    <row r="331" spans="1:18" x14ac:dyDescent="0.25">
      <c r="A331" s="2"/>
      <c r="B331" s="3" t="s">
        <v>635</v>
      </c>
      <c r="C331" s="46" t="s">
        <v>1711</v>
      </c>
      <c r="D331" s="55">
        <v>45483</v>
      </c>
      <c r="E331" s="5" t="s">
        <v>636</v>
      </c>
      <c r="F331" s="14"/>
      <c r="G331" s="7">
        <v>4.5781999999999998</v>
      </c>
      <c r="H331" s="2">
        <v>0</v>
      </c>
      <c r="I331" s="61" t="str">
        <f t="shared" si="5"/>
        <v/>
      </c>
      <c r="J331" s="8" t="s">
        <v>64</v>
      </c>
      <c r="K331" s="9"/>
      <c r="L331" s="10">
        <v>10500</v>
      </c>
      <c r="M331" s="11">
        <v>10500</v>
      </c>
      <c r="N331" s="6"/>
      <c r="O331" s="12"/>
      <c r="P331" s="6">
        <v>7</v>
      </c>
      <c r="Q331" s="6" t="s">
        <v>558</v>
      </c>
      <c r="R331" s="53" t="s">
        <v>1736</v>
      </c>
    </row>
    <row r="332" spans="1:18" x14ac:dyDescent="0.25">
      <c r="A332" s="2"/>
      <c r="B332" s="3" t="s">
        <v>637</v>
      </c>
      <c r="C332" s="46" t="s">
        <v>722</v>
      </c>
      <c r="D332" s="55">
        <v>45483</v>
      </c>
      <c r="E332" s="5" t="s">
        <v>638</v>
      </c>
      <c r="F332" s="14"/>
      <c r="G332" s="7">
        <v>4.5781999999999998</v>
      </c>
      <c r="H332" s="2">
        <v>0</v>
      </c>
      <c r="I332" s="61" t="str">
        <f t="shared" si="5"/>
        <v/>
      </c>
      <c r="J332" s="8" t="s">
        <v>77</v>
      </c>
      <c r="K332" s="9"/>
      <c r="L332" s="29">
        <v>0</v>
      </c>
      <c r="M332" s="11">
        <v>0</v>
      </c>
      <c r="N332" s="6"/>
      <c r="O332" s="12"/>
      <c r="P332" s="6">
        <v>7</v>
      </c>
      <c r="Q332" s="6" t="s">
        <v>558</v>
      </c>
      <c r="R332" s="53" t="s">
        <v>1736</v>
      </c>
    </row>
    <row r="333" spans="1:18" x14ac:dyDescent="0.25">
      <c r="A333" s="2"/>
      <c r="B333" s="3" t="s">
        <v>639</v>
      </c>
      <c r="C333" s="46" t="s">
        <v>1712</v>
      </c>
      <c r="D333" s="55">
        <v>45483</v>
      </c>
      <c r="E333" s="5" t="s">
        <v>1769</v>
      </c>
      <c r="F333" s="14"/>
      <c r="G333" s="7">
        <v>4.5781999999999998</v>
      </c>
      <c r="H333" s="2">
        <v>50000</v>
      </c>
      <c r="I333" s="61">
        <f t="shared" si="5"/>
        <v>228910</v>
      </c>
      <c r="J333" s="8" t="s">
        <v>69</v>
      </c>
      <c r="K333" s="9"/>
      <c r="L333" s="10">
        <v>25000</v>
      </c>
      <c r="M333" s="11">
        <v>114455</v>
      </c>
      <c r="N333" s="6"/>
      <c r="O333" s="12"/>
      <c r="P333" s="6">
        <v>7</v>
      </c>
      <c r="Q333" s="6" t="s">
        <v>558</v>
      </c>
      <c r="R333" s="53" t="s">
        <v>1736</v>
      </c>
    </row>
    <row r="334" spans="1:18" x14ac:dyDescent="0.25">
      <c r="A334" s="2"/>
      <c r="B334" s="3" t="s">
        <v>640</v>
      </c>
      <c r="C334" s="46" t="s">
        <v>1711</v>
      </c>
      <c r="D334" s="55">
        <v>45483</v>
      </c>
      <c r="E334" s="5" t="s">
        <v>641</v>
      </c>
      <c r="F334" s="14"/>
      <c r="G334" s="7">
        <v>4.5781999999999998</v>
      </c>
      <c r="H334" s="2">
        <v>4000</v>
      </c>
      <c r="I334" s="61">
        <f t="shared" si="5"/>
        <v>18312.8</v>
      </c>
      <c r="J334" s="8" t="s">
        <v>64</v>
      </c>
      <c r="K334" s="9"/>
      <c r="L334" s="10">
        <v>4000</v>
      </c>
      <c r="M334" s="11">
        <v>18312.8</v>
      </c>
      <c r="N334" s="6"/>
      <c r="O334" s="12"/>
      <c r="P334" s="6">
        <v>7</v>
      </c>
      <c r="Q334" s="6" t="s">
        <v>558</v>
      </c>
      <c r="R334" s="53" t="s">
        <v>1736</v>
      </c>
    </row>
    <row r="335" spans="1:18" x14ac:dyDescent="0.25">
      <c r="A335" s="2"/>
      <c r="B335" s="3" t="s">
        <v>642</v>
      </c>
      <c r="C335" s="46" t="s">
        <v>1711</v>
      </c>
      <c r="D335" s="55">
        <v>45483</v>
      </c>
      <c r="E335" s="5" t="s">
        <v>643</v>
      </c>
      <c r="F335" s="14"/>
      <c r="G335" s="7">
        <v>4.5781999999999998</v>
      </c>
      <c r="H335" s="2">
        <v>0</v>
      </c>
      <c r="I335" s="61" t="str">
        <f t="shared" si="5"/>
        <v/>
      </c>
      <c r="J335" s="8" t="s">
        <v>64</v>
      </c>
      <c r="K335" s="9"/>
      <c r="L335" s="10"/>
      <c r="M335" s="11">
        <v>0</v>
      </c>
      <c r="N335" s="6"/>
      <c r="O335" s="12"/>
      <c r="P335" s="6">
        <v>7</v>
      </c>
      <c r="Q335" s="6" t="s">
        <v>558</v>
      </c>
      <c r="R335" s="53" t="s">
        <v>1736</v>
      </c>
    </row>
    <row r="336" spans="1:18" x14ac:dyDescent="0.25">
      <c r="A336" s="2"/>
      <c r="B336" s="3" t="s">
        <v>644</v>
      </c>
      <c r="C336" s="46" t="s">
        <v>72</v>
      </c>
      <c r="D336" s="55">
        <v>45483</v>
      </c>
      <c r="E336" s="5" t="s">
        <v>1770</v>
      </c>
      <c r="F336" s="14"/>
      <c r="G336" s="7">
        <v>4.5781999999999998</v>
      </c>
      <c r="H336" s="2">
        <v>1300000</v>
      </c>
      <c r="I336" s="61">
        <f t="shared" si="5"/>
        <v>5951660</v>
      </c>
      <c r="J336" s="8" t="s">
        <v>288</v>
      </c>
      <c r="K336" s="9"/>
      <c r="L336" s="10"/>
      <c r="M336" s="11">
        <v>0</v>
      </c>
      <c r="N336" s="6"/>
      <c r="O336" s="12"/>
      <c r="P336" s="6">
        <v>7</v>
      </c>
      <c r="Q336" s="6" t="s">
        <v>558</v>
      </c>
      <c r="R336" s="53" t="s">
        <v>1736</v>
      </c>
    </row>
    <row r="337" spans="1:18" x14ac:dyDescent="0.25">
      <c r="A337" s="2"/>
      <c r="B337" s="3" t="s">
        <v>645</v>
      </c>
      <c r="C337" s="46" t="s">
        <v>72</v>
      </c>
      <c r="D337" s="55">
        <v>45483</v>
      </c>
      <c r="E337" s="5" t="s">
        <v>1770</v>
      </c>
      <c r="F337" s="6"/>
      <c r="G337" s="7">
        <v>4.5781999999999998</v>
      </c>
      <c r="H337" s="2">
        <v>1300000</v>
      </c>
      <c r="I337" s="61">
        <f t="shared" si="5"/>
        <v>5951660</v>
      </c>
      <c r="J337" s="8" t="s">
        <v>288</v>
      </c>
      <c r="K337" s="9"/>
      <c r="L337" s="10"/>
      <c r="M337" s="11">
        <v>0</v>
      </c>
      <c r="N337" s="6"/>
      <c r="O337" s="12"/>
      <c r="P337" s="6">
        <v>7</v>
      </c>
      <c r="Q337" s="6" t="s">
        <v>558</v>
      </c>
      <c r="R337" s="53" t="s">
        <v>1736</v>
      </c>
    </row>
    <row r="338" spans="1:18" x14ac:dyDescent="0.25">
      <c r="A338" s="2"/>
      <c r="B338" s="3" t="s">
        <v>646</v>
      </c>
      <c r="C338" s="46" t="s">
        <v>72</v>
      </c>
      <c r="D338" s="55">
        <v>45483</v>
      </c>
      <c r="E338" s="5" t="s">
        <v>1770</v>
      </c>
      <c r="F338" s="6"/>
      <c r="G338" s="7">
        <v>4.5781999999999998</v>
      </c>
      <c r="H338" s="2">
        <v>1000000</v>
      </c>
      <c r="I338" s="61">
        <f t="shared" si="5"/>
        <v>4578200</v>
      </c>
      <c r="J338" s="8" t="s">
        <v>288</v>
      </c>
      <c r="K338" s="9"/>
      <c r="L338" s="10"/>
      <c r="M338" s="11">
        <v>0</v>
      </c>
      <c r="N338" s="6"/>
      <c r="O338" s="12"/>
      <c r="P338" s="6">
        <v>7</v>
      </c>
      <c r="Q338" s="6" t="s">
        <v>558</v>
      </c>
      <c r="R338" s="53" t="s">
        <v>1736</v>
      </c>
    </row>
    <row r="339" spans="1:18" x14ac:dyDescent="0.25">
      <c r="A339" s="2"/>
      <c r="B339" s="3" t="s">
        <v>647</v>
      </c>
      <c r="C339" s="46" t="s">
        <v>72</v>
      </c>
      <c r="D339" s="55">
        <v>45483</v>
      </c>
      <c r="E339" s="5" t="s">
        <v>1770</v>
      </c>
      <c r="F339" s="6"/>
      <c r="G339" s="7">
        <v>4.5781999999999998</v>
      </c>
      <c r="H339" s="2">
        <v>1000000</v>
      </c>
      <c r="I339" s="61">
        <f t="shared" si="5"/>
        <v>4578200</v>
      </c>
      <c r="J339" s="8" t="s">
        <v>288</v>
      </c>
      <c r="K339" s="9"/>
      <c r="L339" s="10"/>
      <c r="M339" s="11">
        <v>0</v>
      </c>
      <c r="N339" s="6"/>
      <c r="O339" s="12"/>
      <c r="P339" s="6">
        <v>7</v>
      </c>
      <c r="Q339" s="6" t="s">
        <v>558</v>
      </c>
      <c r="R339" s="53" t="s">
        <v>1736</v>
      </c>
    </row>
    <row r="340" spans="1:18" x14ac:dyDescent="0.25">
      <c r="A340" s="2"/>
      <c r="B340" s="3" t="s">
        <v>648</v>
      </c>
      <c r="C340" s="46" t="s">
        <v>1712</v>
      </c>
      <c r="D340" s="55">
        <v>45483</v>
      </c>
      <c r="E340" s="5" t="s">
        <v>649</v>
      </c>
      <c r="F340" s="6"/>
      <c r="G340" s="7">
        <v>4.5781999999999998</v>
      </c>
      <c r="H340" s="2">
        <v>0</v>
      </c>
      <c r="I340" s="61" t="str">
        <f t="shared" si="5"/>
        <v/>
      </c>
      <c r="J340" s="8" t="s">
        <v>69</v>
      </c>
      <c r="K340" s="9"/>
      <c r="L340" s="10">
        <v>10000</v>
      </c>
      <c r="M340" s="11">
        <v>100000</v>
      </c>
      <c r="N340" s="6"/>
      <c r="O340" s="12"/>
      <c r="P340" s="6">
        <v>7</v>
      </c>
      <c r="Q340" s="6" t="s">
        <v>558</v>
      </c>
      <c r="R340" s="53" t="s">
        <v>1736</v>
      </c>
    </row>
    <row r="341" spans="1:18" x14ac:dyDescent="0.25">
      <c r="A341" s="2"/>
      <c r="B341" s="3" t="s">
        <v>650</v>
      </c>
      <c r="C341" s="46" t="s">
        <v>1711</v>
      </c>
      <c r="D341" s="55">
        <v>45483</v>
      </c>
      <c r="E341" s="5" t="s">
        <v>651</v>
      </c>
      <c r="F341" s="6"/>
      <c r="G341" s="7">
        <v>4.5781999999999998</v>
      </c>
      <c r="H341" s="2">
        <v>30000</v>
      </c>
      <c r="I341" s="61">
        <f t="shared" si="5"/>
        <v>137346</v>
      </c>
      <c r="J341" s="8" t="s">
        <v>64</v>
      </c>
      <c r="K341" s="9"/>
      <c r="L341" s="10">
        <v>30000</v>
      </c>
      <c r="M341" s="11">
        <v>137346</v>
      </c>
      <c r="N341" s="6"/>
      <c r="O341" s="12"/>
      <c r="P341" s="6">
        <v>7</v>
      </c>
      <c r="Q341" s="6" t="s">
        <v>558</v>
      </c>
      <c r="R341" s="53" t="s">
        <v>1736</v>
      </c>
    </row>
    <row r="342" spans="1:18" x14ac:dyDescent="0.25">
      <c r="A342" s="2"/>
      <c r="B342" s="3" t="s">
        <v>652</v>
      </c>
      <c r="C342" s="46" t="s">
        <v>1711</v>
      </c>
      <c r="D342" s="55">
        <v>45483</v>
      </c>
      <c r="E342" s="5" t="s">
        <v>653</v>
      </c>
      <c r="F342" s="6"/>
      <c r="G342" s="7">
        <v>4.5781999999999998</v>
      </c>
      <c r="H342" s="2">
        <v>0</v>
      </c>
      <c r="I342" s="61" t="str">
        <f t="shared" si="5"/>
        <v/>
      </c>
      <c r="J342" s="8" t="s">
        <v>64</v>
      </c>
      <c r="K342" s="9"/>
      <c r="L342" s="10">
        <v>15000</v>
      </c>
      <c r="M342" s="11">
        <v>15000</v>
      </c>
      <c r="N342" s="6"/>
      <c r="O342" s="12"/>
      <c r="P342" s="6">
        <v>7</v>
      </c>
      <c r="Q342" s="6" t="s">
        <v>558</v>
      </c>
      <c r="R342" s="53" t="s">
        <v>1736</v>
      </c>
    </row>
    <row r="343" spans="1:18" x14ac:dyDescent="0.25">
      <c r="A343" s="2"/>
      <c r="B343" s="3" t="s">
        <v>654</v>
      </c>
      <c r="C343" s="46" t="s">
        <v>1711</v>
      </c>
      <c r="D343" s="55">
        <v>45483</v>
      </c>
      <c r="E343" s="5" t="s">
        <v>655</v>
      </c>
      <c r="F343" s="6"/>
      <c r="G343" s="7">
        <v>4.5781999999999998</v>
      </c>
      <c r="H343" s="2">
        <v>0</v>
      </c>
      <c r="I343" s="61" t="str">
        <f t="shared" si="5"/>
        <v/>
      </c>
      <c r="J343" s="8" t="s">
        <v>64</v>
      </c>
      <c r="K343" s="9"/>
      <c r="L343" s="10">
        <v>10500</v>
      </c>
      <c r="M343" s="11">
        <v>10500</v>
      </c>
      <c r="N343" s="6"/>
      <c r="O343" s="12"/>
      <c r="P343" s="6">
        <v>7</v>
      </c>
      <c r="Q343" s="6" t="s">
        <v>558</v>
      </c>
      <c r="R343" s="53" t="s">
        <v>1736</v>
      </c>
    </row>
    <row r="344" spans="1:18" x14ac:dyDescent="0.25">
      <c r="A344" s="2"/>
      <c r="B344" s="3" t="s">
        <v>656</v>
      </c>
      <c r="C344" s="46" t="s">
        <v>1711</v>
      </c>
      <c r="D344" s="55">
        <v>45483</v>
      </c>
      <c r="E344" s="5" t="s">
        <v>657</v>
      </c>
      <c r="F344" s="6"/>
      <c r="G344" s="7">
        <v>4.5781999999999998</v>
      </c>
      <c r="H344" s="2">
        <v>0</v>
      </c>
      <c r="I344" s="61" t="str">
        <f t="shared" si="5"/>
        <v/>
      </c>
      <c r="J344" s="8" t="s">
        <v>64</v>
      </c>
      <c r="K344" s="9"/>
      <c r="L344" s="10">
        <v>100000</v>
      </c>
      <c r="M344" s="11">
        <v>100000</v>
      </c>
      <c r="N344" s="6"/>
      <c r="O344" s="12"/>
      <c r="P344" s="6">
        <v>7</v>
      </c>
      <c r="Q344" s="6" t="s">
        <v>558</v>
      </c>
      <c r="R344" s="53" t="s">
        <v>1736</v>
      </c>
    </row>
    <row r="345" spans="1:18" x14ac:dyDescent="0.25">
      <c r="A345" s="2"/>
      <c r="B345" s="3" t="s">
        <v>658</v>
      </c>
      <c r="C345" s="46" t="s">
        <v>1711</v>
      </c>
      <c r="D345" s="55">
        <v>45483</v>
      </c>
      <c r="E345" s="5" t="s">
        <v>659</v>
      </c>
      <c r="F345" s="6"/>
      <c r="G345" s="7">
        <v>4.5781999999999998</v>
      </c>
      <c r="H345" s="2">
        <v>3500</v>
      </c>
      <c r="I345" s="61">
        <f t="shared" si="5"/>
        <v>16023.699999999999</v>
      </c>
      <c r="J345" s="8" t="s">
        <v>64</v>
      </c>
      <c r="K345" s="9"/>
      <c r="L345" s="10">
        <v>3500</v>
      </c>
      <c r="M345" s="11">
        <v>16023.7</v>
      </c>
      <c r="N345" s="6"/>
      <c r="O345" s="12"/>
      <c r="P345" s="6">
        <v>7</v>
      </c>
      <c r="Q345" s="6" t="s">
        <v>558</v>
      </c>
      <c r="R345" s="53" t="s">
        <v>1736</v>
      </c>
    </row>
    <row r="346" spans="1:18" x14ac:dyDescent="0.25">
      <c r="A346" s="2"/>
      <c r="B346" s="3" t="s">
        <v>660</v>
      </c>
      <c r="C346" s="46" t="s">
        <v>1711</v>
      </c>
      <c r="D346" s="55">
        <v>45483</v>
      </c>
      <c r="E346" s="5" t="s">
        <v>661</v>
      </c>
      <c r="F346" s="6"/>
      <c r="G346" s="7">
        <v>4.5781999999999998</v>
      </c>
      <c r="H346" s="2">
        <v>0</v>
      </c>
      <c r="I346" s="61" t="str">
        <f t="shared" si="5"/>
        <v/>
      </c>
      <c r="J346" s="8" t="s">
        <v>64</v>
      </c>
      <c r="K346" s="9"/>
      <c r="L346" s="10">
        <v>99550</v>
      </c>
      <c r="M346" s="11">
        <v>99550</v>
      </c>
      <c r="N346" s="6"/>
      <c r="O346" s="12"/>
      <c r="P346" s="6">
        <v>7</v>
      </c>
      <c r="Q346" s="6" t="s">
        <v>558</v>
      </c>
      <c r="R346" s="53" t="s">
        <v>1736</v>
      </c>
    </row>
    <row r="347" spans="1:18" x14ac:dyDescent="0.25">
      <c r="A347" s="2"/>
      <c r="B347" s="3" t="s">
        <v>662</v>
      </c>
      <c r="C347" s="46" t="s">
        <v>1712</v>
      </c>
      <c r="D347" s="55">
        <v>45483</v>
      </c>
      <c r="E347" s="5" t="s">
        <v>1771</v>
      </c>
      <c r="F347" s="6"/>
      <c r="G347" s="7">
        <v>4.5781999999999998</v>
      </c>
      <c r="H347" s="2">
        <v>3000</v>
      </c>
      <c r="I347" s="61">
        <f t="shared" si="5"/>
        <v>13734.6</v>
      </c>
      <c r="J347" s="8" t="s">
        <v>69</v>
      </c>
      <c r="K347" s="9"/>
      <c r="L347" s="10">
        <v>1000</v>
      </c>
      <c r="M347" s="11">
        <v>4578.2</v>
      </c>
      <c r="N347" s="6"/>
      <c r="O347" s="12"/>
      <c r="P347" s="6">
        <v>7</v>
      </c>
      <c r="Q347" s="6" t="s">
        <v>558</v>
      </c>
      <c r="R347" s="53" t="s">
        <v>1736</v>
      </c>
    </row>
    <row r="348" spans="1:18" ht="24" x14ac:dyDescent="0.25">
      <c r="A348" s="2"/>
      <c r="B348" s="3" t="s">
        <v>663</v>
      </c>
      <c r="C348" s="46" t="s">
        <v>1711</v>
      </c>
      <c r="D348" s="55">
        <v>45464</v>
      </c>
      <c r="E348" s="5" t="s">
        <v>664</v>
      </c>
      <c r="F348" s="6"/>
      <c r="G348" s="7">
        <v>4.5781999999999998</v>
      </c>
      <c r="H348" s="2">
        <v>0</v>
      </c>
      <c r="I348" s="61" t="str">
        <f t="shared" si="5"/>
        <v/>
      </c>
      <c r="J348" s="34" t="s">
        <v>665</v>
      </c>
      <c r="K348" s="9"/>
      <c r="L348" s="10">
        <v>3180000</v>
      </c>
      <c r="M348" s="11">
        <v>3180000</v>
      </c>
      <c r="N348" s="6"/>
      <c r="O348" s="12"/>
      <c r="P348" s="6">
        <v>6</v>
      </c>
      <c r="Q348" s="6" t="s">
        <v>666</v>
      </c>
      <c r="R348" s="53" t="s">
        <v>1736</v>
      </c>
    </row>
    <row r="349" spans="1:18" x14ac:dyDescent="0.25">
      <c r="A349" s="2"/>
      <c r="B349" s="16" t="s">
        <v>667</v>
      </c>
      <c r="C349" s="46" t="s">
        <v>234</v>
      </c>
      <c r="D349" s="55">
        <v>45464</v>
      </c>
      <c r="E349" s="5" t="s">
        <v>592</v>
      </c>
      <c r="F349" s="14"/>
      <c r="G349" s="32">
        <v>4.5781999999999998</v>
      </c>
      <c r="H349" s="13">
        <v>2000</v>
      </c>
      <c r="I349" s="61">
        <f t="shared" si="5"/>
        <v>9156.4</v>
      </c>
      <c r="J349" s="20" t="s">
        <v>234</v>
      </c>
      <c r="K349" s="9"/>
      <c r="L349" s="10"/>
      <c r="M349" s="15">
        <v>0</v>
      </c>
      <c r="N349" s="6"/>
      <c r="O349" s="12"/>
      <c r="P349" s="6">
        <v>6</v>
      </c>
      <c r="Q349" s="6" t="s">
        <v>666</v>
      </c>
      <c r="R349" s="53" t="s">
        <v>1736</v>
      </c>
    </row>
    <row r="350" spans="1:18" x14ac:dyDescent="0.25">
      <c r="A350" s="2"/>
      <c r="B350" s="3" t="s">
        <v>668</v>
      </c>
      <c r="C350" s="46" t="s">
        <v>1711</v>
      </c>
      <c r="D350" s="55">
        <v>45464</v>
      </c>
      <c r="E350" s="5" t="s">
        <v>607</v>
      </c>
      <c r="F350" s="14"/>
      <c r="G350" s="32">
        <v>4.5781999999999998</v>
      </c>
      <c r="H350" s="13">
        <v>7300</v>
      </c>
      <c r="I350" s="61">
        <f t="shared" si="5"/>
        <v>33420.86</v>
      </c>
      <c r="J350" s="20" t="s">
        <v>64</v>
      </c>
      <c r="K350" s="9"/>
      <c r="L350" s="21">
        <v>33420.86</v>
      </c>
      <c r="M350" s="15">
        <v>153007.38125199999</v>
      </c>
      <c r="N350" s="6"/>
      <c r="O350" s="12"/>
      <c r="P350" s="6">
        <v>6</v>
      </c>
      <c r="Q350" s="6" t="s">
        <v>666</v>
      </c>
      <c r="R350" s="53" t="s">
        <v>1736</v>
      </c>
    </row>
    <row r="351" spans="1:18" x14ac:dyDescent="0.25">
      <c r="A351" s="2"/>
      <c r="B351" s="3" t="s">
        <v>669</v>
      </c>
      <c r="C351" s="46" t="s">
        <v>1711</v>
      </c>
      <c r="D351" s="55">
        <v>45464</v>
      </c>
      <c r="E351" s="5" t="s">
        <v>670</v>
      </c>
      <c r="F351" s="6"/>
      <c r="G351" s="7">
        <v>4.5781999999999998</v>
      </c>
      <c r="H351" s="2">
        <v>0</v>
      </c>
      <c r="I351" s="61" t="str">
        <f t="shared" si="5"/>
        <v/>
      </c>
      <c r="J351" s="8" t="s">
        <v>64</v>
      </c>
      <c r="K351" s="9"/>
      <c r="L351" s="10">
        <v>3097500</v>
      </c>
      <c r="M351" s="11">
        <v>3097500</v>
      </c>
      <c r="N351" s="6"/>
      <c r="O351" s="12"/>
      <c r="P351" s="6">
        <v>6</v>
      </c>
      <c r="Q351" s="6" t="s">
        <v>666</v>
      </c>
      <c r="R351" s="53" t="s">
        <v>1736</v>
      </c>
    </row>
    <row r="352" spans="1:18" x14ac:dyDescent="0.25">
      <c r="A352" s="2"/>
      <c r="B352" s="3" t="s">
        <v>671</v>
      </c>
      <c r="C352" s="46" t="s">
        <v>1711</v>
      </c>
      <c r="D352" s="55">
        <v>45464</v>
      </c>
      <c r="E352" s="5" t="s">
        <v>670</v>
      </c>
      <c r="F352" s="6"/>
      <c r="G352" s="7">
        <v>4.5781999999999998</v>
      </c>
      <c r="H352" s="2">
        <v>0</v>
      </c>
      <c r="I352" s="61" t="str">
        <f t="shared" si="5"/>
        <v/>
      </c>
      <c r="J352" s="8" t="s">
        <v>64</v>
      </c>
      <c r="K352" s="9"/>
      <c r="L352" s="10">
        <v>3577500</v>
      </c>
      <c r="M352" s="11">
        <v>3577500</v>
      </c>
      <c r="N352" s="6"/>
      <c r="O352" s="12"/>
      <c r="P352" s="6">
        <v>6</v>
      </c>
      <c r="Q352" s="6" t="s">
        <v>666</v>
      </c>
      <c r="R352" s="53" t="s">
        <v>1736</v>
      </c>
    </row>
    <row r="353" spans="1:18" ht="38.25" x14ac:dyDescent="0.25">
      <c r="A353" s="2"/>
      <c r="B353" s="3" t="s">
        <v>672</v>
      </c>
      <c r="C353" s="46" t="s">
        <v>72</v>
      </c>
      <c r="D353" s="55">
        <v>45464</v>
      </c>
      <c r="E353" s="5" t="s">
        <v>673</v>
      </c>
      <c r="F353" s="6"/>
      <c r="G353" s="7">
        <v>4.5781999999999998</v>
      </c>
      <c r="H353" s="2">
        <v>0</v>
      </c>
      <c r="I353" s="61" t="str">
        <f t="shared" si="5"/>
        <v/>
      </c>
      <c r="J353" s="8" t="s">
        <v>122</v>
      </c>
      <c r="K353" s="9"/>
      <c r="L353" s="27">
        <v>0</v>
      </c>
      <c r="M353" s="11">
        <v>120000</v>
      </c>
      <c r="N353" s="35" t="s">
        <v>674</v>
      </c>
      <c r="O353" s="12"/>
      <c r="P353" s="6">
        <v>6</v>
      </c>
      <c r="Q353" s="6" t="s">
        <v>666</v>
      </c>
      <c r="R353" s="53" t="s">
        <v>1736</v>
      </c>
    </row>
    <row r="354" spans="1:18" x14ac:dyDescent="0.25">
      <c r="A354" s="2"/>
      <c r="B354" s="3" t="s">
        <v>675</v>
      </c>
      <c r="C354" s="46" t="s">
        <v>1711</v>
      </c>
      <c r="D354" s="55">
        <v>45464</v>
      </c>
      <c r="E354" s="5" t="s">
        <v>676</v>
      </c>
      <c r="F354" s="6"/>
      <c r="G354" s="7">
        <v>4.5781999999999998</v>
      </c>
      <c r="H354" s="2">
        <v>0</v>
      </c>
      <c r="I354" s="61" t="str">
        <f t="shared" si="5"/>
        <v/>
      </c>
      <c r="J354" s="8" t="s">
        <v>64</v>
      </c>
      <c r="K354" s="9"/>
      <c r="L354" s="10">
        <v>3010500</v>
      </c>
      <c r="M354" s="11">
        <v>3010500</v>
      </c>
      <c r="N354" s="6"/>
      <c r="O354" s="12"/>
      <c r="P354" s="6">
        <v>6</v>
      </c>
      <c r="Q354" s="6" t="s">
        <v>666</v>
      </c>
      <c r="R354" s="53" t="s">
        <v>1736</v>
      </c>
    </row>
    <row r="355" spans="1:18" ht="25.5" x14ac:dyDescent="0.25">
      <c r="A355" s="2"/>
      <c r="B355" s="3" t="s">
        <v>677</v>
      </c>
      <c r="C355" s="46" t="s">
        <v>72</v>
      </c>
      <c r="D355" s="55">
        <v>45464</v>
      </c>
      <c r="E355" s="5" t="s">
        <v>676</v>
      </c>
      <c r="F355" s="6"/>
      <c r="G355" s="7">
        <v>4.5781999999999998</v>
      </c>
      <c r="H355" s="2">
        <v>0</v>
      </c>
      <c r="I355" s="61" t="str">
        <f t="shared" si="5"/>
        <v/>
      </c>
      <c r="J355" s="8" t="s">
        <v>122</v>
      </c>
      <c r="K355" s="9"/>
      <c r="L355" s="27">
        <v>0</v>
      </c>
      <c r="M355" s="11">
        <v>765450</v>
      </c>
      <c r="N355" s="35" t="s">
        <v>678</v>
      </c>
      <c r="O355" s="12"/>
      <c r="P355" s="6">
        <v>6</v>
      </c>
      <c r="Q355" s="6" t="s">
        <v>666</v>
      </c>
      <c r="R355" s="53" t="s">
        <v>1736</v>
      </c>
    </row>
    <row r="356" spans="1:18" ht="25.5" x14ac:dyDescent="0.25">
      <c r="A356" s="2"/>
      <c r="B356" s="3" t="s">
        <v>261</v>
      </c>
      <c r="C356" s="4" t="s">
        <v>72</v>
      </c>
      <c r="D356" s="55">
        <v>45464</v>
      </c>
      <c r="E356" s="5" t="s">
        <v>577</v>
      </c>
      <c r="F356" s="6"/>
      <c r="G356" s="7">
        <v>4.5781999999999998</v>
      </c>
      <c r="H356" s="2">
        <v>0</v>
      </c>
      <c r="I356" s="61" t="str">
        <f t="shared" si="5"/>
        <v/>
      </c>
      <c r="J356" s="8" t="s">
        <v>122</v>
      </c>
      <c r="K356" s="9"/>
      <c r="L356" s="27">
        <v>0</v>
      </c>
      <c r="M356" s="11">
        <v>0</v>
      </c>
      <c r="N356" s="35" t="s">
        <v>679</v>
      </c>
      <c r="O356" s="12"/>
      <c r="P356" s="6">
        <v>6</v>
      </c>
      <c r="Q356" s="6" t="s">
        <v>666</v>
      </c>
      <c r="R356" s="53" t="s">
        <v>1736</v>
      </c>
    </row>
    <row r="357" spans="1:18" ht="25.5" x14ac:dyDescent="0.25">
      <c r="A357" s="2"/>
      <c r="B357" s="3" t="s">
        <v>680</v>
      </c>
      <c r="C357" s="4" t="s">
        <v>72</v>
      </c>
      <c r="D357" s="55">
        <v>45456</v>
      </c>
      <c r="E357" s="5" t="s">
        <v>681</v>
      </c>
      <c r="F357" s="6"/>
      <c r="G357" s="7">
        <v>4.5781999999999998</v>
      </c>
      <c r="H357" s="2">
        <v>1000</v>
      </c>
      <c r="I357" s="61">
        <f t="shared" si="5"/>
        <v>4578.2</v>
      </c>
      <c r="J357" s="8" t="s">
        <v>122</v>
      </c>
      <c r="K357" s="9"/>
      <c r="L357" s="27">
        <v>0</v>
      </c>
      <c r="M357" s="11">
        <v>0</v>
      </c>
      <c r="N357" s="35" t="s">
        <v>678</v>
      </c>
      <c r="O357" s="12"/>
      <c r="P357" s="6">
        <v>6</v>
      </c>
      <c r="Q357" s="6" t="s">
        <v>666</v>
      </c>
      <c r="R357" s="53" t="s">
        <v>1736</v>
      </c>
    </row>
    <row r="358" spans="1:18" x14ac:dyDescent="0.25">
      <c r="A358" s="2"/>
      <c r="B358" s="3" t="s">
        <v>682</v>
      </c>
      <c r="C358" s="46" t="s">
        <v>1712</v>
      </c>
      <c r="D358" s="55">
        <v>45456</v>
      </c>
      <c r="E358" s="5" t="s">
        <v>1772</v>
      </c>
      <c r="F358" s="6"/>
      <c r="G358" s="7">
        <v>4.5781999999999998</v>
      </c>
      <c r="H358" s="2">
        <v>2000</v>
      </c>
      <c r="I358" s="61">
        <f t="shared" si="5"/>
        <v>9156.4</v>
      </c>
      <c r="J358" s="8" t="s">
        <v>69</v>
      </c>
      <c r="K358" s="9"/>
      <c r="L358" s="10">
        <v>4578.2</v>
      </c>
      <c r="M358" s="11">
        <v>20959.915239999998</v>
      </c>
      <c r="N358" s="6"/>
      <c r="O358" s="12"/>
      <c r="P358" s="6">
        <v>6</v>
      </c>
      <c r="Q358" s="6" t="s">
        <v>666</v>
      </c>
      <c r="R358" s="53" t="s">
        <v>1736</v>
      </c>
    </row>
    <row r="359" spans="1:18" x14ac:dyDescent="0.25">
      <c r="A359" s="2"/>
      <c r="B359" s="3" t="s">
        <v>683</v>
      </c>
      <c r="C359" s="46" t="s">
        <v>1711</v>
      </c>
      <c r="D359" s="55">
        <v>45456</v>
      </c>
      <c r="E359" s="5" t="s">
        <v>614</v>
      </c>
      <c r="F359" s="14"/>
      <c r="G359" s="32">
        <v>4.5781999999999998</v>
      </c>
      <c r="H359" s="13">
        <v>7500</v>
      </c>
      <c r="I359" s="61">
        <f t="shared" si="5"/>
        <v>34336.5</v>
      </c>
      <c r="J359" s="20" t="s">
        <v>64</v>
      </c>
      <c r="K359" s="9"/>
      <c r="L359" s="21">
        <v>34336.5</v>
      </c>
      <c r="M359" s="15">
        <v>157199.36429999999</v>
      </c>
      <c r="N359" s="6"/>
      <c r="O359" s="12"/>
      <c r="P359" s="6">
        <v>6</v>
      </c>
      <c r="Q359" s="6" t="s">
        <v>666</v>
      </c>
      <c r="R359" s="53" t="s">
        <v>1736</v>
      </c>
    </row>
    <row r="360" spans="1:18" x14ac:dyDescent="0.25">
      <c r="A360" s="2"/>
      <c r="B360" s="3" t="s">
        <v>684</v>
      </c>
      <c r="C360" s="46" t="s">
        <v>1711</v>
      </c>
      <c r="D360" s="55">
        <v>45456</v>
      </c>
      <c r="E360" s="5" t="s">
        <v>685</v>
      </c>
      <c r="F360" s="14"/>
      <c r="G360" s="32">
        <v>4.5781999999999998</v>
      </c>
      <c r="H360" s="13">
        <v>50001</v>
      </c>
      <c r="I360" s="61">
        <f t="shared" si="5"/>
        <v>228914.57819999999</v>
      </c>
      <c r="J360" s="20" t="s">
        <v>64</v>
      </c>
      <c r="K360" s="9"/>
      <c r="L360" s="21">
        <v>228914.58</v>
      </c>
      <c r="M360" s="15">
        <v>1048016.730156</v>
      </c>
      <c r="N360" s="6"/>
      <c r="O360" s="12"/>
      <c r="P360" s="6">
        <v>6</v>
      </c>
      <c r="Q360" s="6" t="s">
        <v>666</v>
      </c>
      <c r="R360" s="53" t="s">
        <v>1736</v>
      </c>
    </row>
    <row r="361" spans="1:18" x14ac:dyDescent="0.25">
      <c r="A361" s="2"/>
      <c r="B361" s="3" t="s">
        <v>686</v>
      </c>
      <c r="C361" s="46" t="s">
        <v>1711</v>
      </c>
      <c r="D361" s="55">
        <v>45456</v>
      </c>
      <c r="E361" s="5" t="s">
        <v>125</v>
      </c>
      <c r="F361" s="6"/>
      <c r="G361" s="7">
        <v>4.5781999999999998</v>
      </c>
      <c r="H361" s="2">
        <v>0</v>
      </c>
      <c r="I361" s="61" t="str">
        <f t="shared" si="5"/>
        <v/>
      </c>
      <c r="J361" s="8" t="s">
        <v>64</v>
      </c>
      <c r="K361" s="9"/>
      <c r="L361" s="10">
        <v>463680</v>
      </c>
      <c r="M361" s="11">
        <v>463680</v>
      </c>
      <c r="N361" s="6"/>
      <c r="O361" s="12"/>
      <c r="P361" s="6">
        <v>6</v>
      </c>
      <c r="Q361" s="6" t="s">
        <v>666</v>
      </c>
      <c r="R361" s="53" t="s">
        <v>1736</v>
      </c>
    </row>
    <row r="362" spans="1:18" x14ac:dyDescent="0.25">
      <c r="A362" s="2"/>
      <c r="B362" s="3" t="s">
        <v>687</v>
      </c>
      <c r="C362" s="46" t="s">
        <v>1711</v>
      </c>
      <c r="D362" s="55">
        <v>45456</v>
      </c>
      <c r="E362" s="5" t="s">
        <v>566</v>
      </c>
      <c r="F362" s="6"/>
      <c r="G362" s="7">
        <v>4.5781999999999998</v>
      </c>
      <c r="H362" s="2">
        <v>30000</v>
      </c>
      <c r="I362" s="61">
        <f t="shared" si="5"/>
        <v>137346</v>
      </c>
      <c r="J362" s="8" t="s">
        <v>64</v>
      </c>
      <c r="K362" s="9"/>
      <c r="L362" s="10">
        <v>137346</v>
      </c>
      <c r="M362" s="11">
        <v>628797.45719999995</v>
      </c>
      <c r="N362" s="6"/>
      <c r="O362" s="12"/>
      <c r="P362" s="6">
        <v>6</v>
      </c>
      <c r="Q362" s="6" t="s">
        <v>666</v>
      </c>
      <c r="R362" s="53" t="s">
        <v>1736</v>
      </c>
    </row>
    <row r="363" spans="1:18" x14ac:dyDescent="0.25">
      <c r="A363" s="2"/>
      <c r="B363" s="3" t="s">
        <v>688</v>
      </c>
      <c r="C363" s="46" t="s">
        <v>1711</v>
      </c>
      <c r="D363" s="55">
        <v>45456</v>
      </c>
      <c r="E363" s="5" t="s">
        <v>689</v>
      </c>
      <c r="F363" s="6"/>
      <c r="G363" s="7">
        <v>4.5781999999999998</v>
      </c>
      <c r="H363" s="2">
        <v>0</v>
      </c>
      <c r="I363" s="61" t="str">
        <f t="shared" si="5"/>
        <v/>
      </c>
      <c r="J363" s="8" t="s">
        <v>64</v>
      </c>
      <c r="K363" s="9"/>
      <c r="L363" s="10">
        <v>635000</v>
      </c>
      <c r="M363" s="11">
        <v>635000</v>
      </c>
      <c r="N363" s="6"/>
      <c r="O363" s="12"/>
      <c r="P363" s="6">
        <v>6</v>
      </c>
      <c r="Q363" s="6" t="s">
        <v>666</v>
      </c>
      <c r="R363" s="53" t="s">
        <v>1736</v>
      </c>
    </row>
    <row r="364" spans="1:18" x14ac:dyDescent="0.25">
      <c r="A364" s="2"/>
      <c r="B364" s="3" t="s">
        <v>690</v>
      </c>
      <c r="C364" s="46" t="s">
        <v>1711</v>
      </c>
      <c r="D364" s="55">
        <v>45456</v>
      </c>
      <c r="E364" s="5" t="s">
        <v>140</v>
      </c>
      <c r="F364" s="6"/>
      <c r="G364" s="7">
        <v>4.5781999999999998</v>
      </c>
      <c r="H364" s="2">
        <v>11000</v>
      </c>
      <c r="I364" s="61">
        <f t="shared" si="5"/>
        <v>50360.2</v>
      </c>
      <c r="J364" s="8" t="s">
        <v>64</v>
      </c>
      <c r="K364" s="9"/>
      <c r="L364" s="10">
        <v>50360.2</v>
      </c>
      <c r="M364" s="11">
        <v>230559.06763999999</v>
      </c>
      <c r="N364" s="6"/>
      <c r="O364" s="12"/>
      <c r="P364" s="6">
        <v>6</v>
      </c>
      <c r="Q364" s="6" t="s">
        <v>666</v>
      </c>
      <c r="R364" s="53" t="s">
        <v>1736</v>
      </c>
    </row>
    <row r="365" spans="1:18" x14ac:dyDescent="0.25">
      <c r="A365" s="2"/>
      <c r="B365" s="3" t="s">
        <v>691</v>
      </c>
      <c r="C365" s="46" t="s">
        <v>1711</v>
      </c>
      <c r="D365" s="55">
        <v>45456</v>
      </c>
      <c r="E365" s="5" t="s">
        <v>140</v>
      </c>
      <c r="F365" s="6"/>
      <c r="G365" s="7">
        <v>4.5781999999999998</v>
      </c>
      <c r="H365" s="2">
        <v>50000</v>
      </c>
      <c r="I365" s="61">
        <f t="shared" si="5"/>
        <v>228910</v>
      </c>
      <c r="J365" s="8" t="s">
        <v>64</v>
      </c>
      <c r="K365" s="9"/>
      <c r="L365" s="10">
        <v>228910</v>
      </c>
      <c r="M365" s="11">
        <v>1047995.762</v>
      </c>
      <c r="N365" s="6"/>
      <c r="O365" s="12"/>
      <c r="P365" s="6">
        <v>6</v>
      </c>
      <c r="Q365" s="6" t="s">
        <v>666</v>
      </c>
      <c r="R365" s="53" t="s">
        <v>1736</v>
      </c>
    </row>
    <row r="366" spans="1:18" ht="25.5" x14ac:dyDescent="0.25">
      <c r="A366" s="2"/>
      <c r="B366" s="3" t="s">
        <v>692</v>
      </c>
      <c r="C366" s="4" t="s">
        <v>72</v>
      </c>
      <c r="D366" s="55">
        <v>45456</v>
      </c>
      <c r="E366" s="5" t="s">
        <v>140</v>
      </c>
      <c r="F366" s="6"/>
      <c r="G366" s="7">
        <v>4.5781999999999998</v>
      </c>
      <c r="H366" s="2">
        <v>10000</v>
      </c>
      <c r="I366" s="61">
        <f t="shared" si="5"/>
        <v>45782</v>
      </c>
      <c r="J366" s="8" t="s">
        <v>122</v>
      </c>
      <c r="K366" s="9"/>
      <c r="L366" s="27">
        <v>0</v>
      </c>
      <c r="M366" s="11">
        <v>0</v>
      </c>
      <c r="N366" s="35" t="s">
        <v>678</v>
      </c>
      <c r="O366" s="12"/>
      <c r="P366" s="6">
        <v>6</v>
      </c>
      <c r="Q366" s="6" t="s">
        <v>666</v>
      </c>
      <c r="R366" s="53" t="s">
        <v>1736</v>
      </c>
    </row>
    <row r="367" spans="1:18" x14ac:dyDescent="0.25">
      <c r="A367" s="2"/>
      <c r="B367" s="3" t="s">
        <v>693</v>
      </c>
      <c r="C367" s="46" t="s">
        <v>1711</v>
      </c>
      <c r="D367" s="55">
        <v>45456</v>
      </c>
      <c r="E367" s="5" t="s">
        <v>694</v>
      </c>
      <c r="F367" s="6"/>
      <c r="G367" s="7">
        <v>4.5781999999999998</v>
      </c>
      <c r="H367" s="2">
        <v>20000</v>
      </c>
      <c r="I367" s="61">
        <f t="shared" si="5"/>
        <v>91564</v>
      </c>
      <c r="J367" s="8" t="s">
        <v>64</v>
      </c>
      <c r="K367" s="9"/>
      <c r="L367" s="10">
        <v>91564</v>
      </c>
      <c r="M367" s="11">
        <v>419198.30479999998</v>
      </c>
      <c r="N367" s="6"/>
      <c r="O367" s="12"/>
      <c r="P367" s="6">
        <v>6</v>
      </c>
      <c r="Q367" s="6" t="s">
        <v>666</v>
      </c>
      <c r="R367" s="53" t="s">
        <v>1736</v>
      </c>
    </row>
    <row r="368" spans="1:18" x14ac:dyDescent="0.25">
      <c r="A368" s="2"/>
      <c r="B368" s="3" t="s">
        <v>695</v>
      </c>
      <c r="C368" s="46" t="s">
        <v>1711</v>
      </c>
      <c r="D368" s="55">
        <v>45456</v>
      </c>
      <c r="E368" s="5" t="s">
        <v>696</v>
      </c>
      <c r="F368" s="6"/>
      <c r="G368" s="7">
        <v>4.5781999999999998</v>
      </c>
      <c r="H368" s="2">
        <v>10000</v>
      </c>
      <c r="I368" s="61">
        <f t="shared" si="5"/>
        <v>45782</v>
      </c>
      <c r="J368" s="8" t="s">
        <v>64</v>
      </c>
      <c r="K368" s="9"/>
      <c r="L368" s="10">
        <v>45782</v>
      </c>
      <c r="M368" s="11">
        <v>209599.15239999999</v>
      </c>
      <c r="N368" s="6"/>
      <c r="O368" s="12"/>
      <c r="P368" s="6">
        <v>6</v>
      </c>
      <c r="Q368" s="6" t="s">
        <v>666</v>
      </c>
      <c r="R368" s="53" t="s">
        <v>1736</v>
      </c>
    </row>
    <row r="369" spans="1:18" x14ac:dyDescent="0.25">
      <c r="A369" s="2"/>
      <c r="B369" s="3" t="s">
        <v>697</v>
      </c>
      <c r="C369" s="46" t="s">
        <v>1711</v>
      </c>
      <c r="D369" s="55">
        <v>45456</v>
      </c>
      <c r="E369" s="5" t="s">
        <v>698</v>
      </c>
      <c r="F369" s="6"/>
      <c r="G369" s="7">
        <v>4.5781999999999998</v>
      </c>
      <c r="H369" s="2">
        <v>2000</v>
      </c>
      <c r="I369" s="61">
        <f t="shared" si="5"/>
        <v>9156.4</v>
      </c>
      <c r="J369" s="8" t="s">
        <v>64</v>
      </c>
      <c r="K369" s="9"/>
      <c r="L369" s="10">
        <v>9156.4</v>
      </c>
      <c r="M369" s="11">
        <v>41919.830479999997</v>
      </c>
      <c r="N369" s="6"/>
      <c r="O369" s="12"/>
      <c r="P369" s="6">
        <v>6</v>
      </c>
      <c r="Q369" s="6" t="s">
        <v>666</v>
      </c>
      <c r="R369" s="53" t="s">
        <v>1736</v>
      </c>
    </row>
    <row r="370" spans="1:18" x14ac:dyDescent="0.25">
      <c r="A370" s="2"/>
      <c r="B370" s="3" t="s">
        <v>699</v>
      </c>
      <c r="C370" s="46" t="s">
        <v>1711</v>
      </c>
      <c r="D370" s="55">
        <v>45456</v>
      </c>
      <c r="E370" s="5" t="s">
        <v>700</v>
      </c>
      <c r="F370" s="6"/>
      <c r="G370" s="7">
        <v>4.5781999999999998</v>
      </c>
      <c r="H370" s="2">
        <v>50000</v>
      </c>
      <c r="I370" s="61">
        <f t="shared" si="5"/>
        <v>228910</v>
      </c>
      <c r="J370" s="8" t="s">
        <v>64</v>
      </c>
      <c r="K370" s="9"/>
      <c r="L370" s="10">
        <v>228910</v>
      </c>
      <c r="M370" s="11">
        <v>1047995.762</v>
      </c>
      <c r="N370" s="6"/>
      <c r="O370" s="12"/>
      <c r="P370" s="6">
        <v>6</v>
      </c>
      <c r="Q370" s="6" t="s">
        <v>666</v>
      </c>
      <c r="R370" s="53" t="s">
        <v>1736</v>
      </c>
    </row>
    <row r="371" spans="1:18" x14ac:dyDescent="0.25">
      <c r="A371" s="2"/>
      <c r="B371" s="3" t="s">
        <v>701</v>
      </c>
      <c r="C371" s="46" t="s">
        <v>1711</v>
      </c>
      <c r="D371" s="55">
        <v>45456</v>
      </c>
      <c r="E371" s="5" t="s">
        <v>702</v>
      </c>
      <c r="F371" s="6"/>
      <c r="G371" s="7">
        <v>4.5781999999999998</v>
      </c>
      <c r="H371" s="2">
        <v>150000</v>
      </c>
      <c r="I371" s="61">
        <f t="shared" si="5"/>
        <v>686730</v>
      </c>
      <c r="J371" s="8" t="s">
        <v>64</v>
      </c>
      <c r="K371" s="9"/>
      <c r="L371" s="10">
        <v>686730</v>
      </c>
      <c r="M371" s="11">
        <v>3143987.2859999998</v>
      </c>
      <c r="N371" s="6"/>
      <c r="O371" s="12"/>
      <c r="P371" s="6">
        <v>6</v>
      </c>
      <c r="Q371" s="6" t="s">
        <v>666</v>
      </c>
      <c r="R371" s="53" t="s">
        <v>1736</v>
      </c>
    </row>
    <row r="372" spans="1:18" x14ac:dyDescent="0.25">
      <c r="A372" s="2"/>
      <c r="B372" s="3" t="s">
        <v>703</v>
      </c>
      <c r="C372" s="46" t="s">
        <v>234</v>
      </c>
      <c r="D372" s="55">
        <v>45439</v>
      </c>
      <c r="E372" s="5" t="s">
        <v>592</v>
      </c>
      <c r="F372" s="14"/>
      <c r="G372" s="32">
        <v>4.5781999999999998</v>
      </c>
      <c r="H372" s="13">
        <v>50000</v>
      </c>
      <c r="I372" s="61">
        <f t="shared" si="5"/>
        <v>228910</v>
      </c>
      <c r="J372" s="20" t="s">
        <v>234</v>
      </c>
      <c r="K372" s="9"/>
      <c r="L372" s="10"/>
      <c r="M372" s="15">
        <v>0</v>
      </c>
      <c r="N372" s="6"/>
      <c r="O372" s="12"/>
      <c r="P372" s="6">
        <v>5</v>
      </c>
      <c r="Q372" s="6" t="s">
        <v>487</v>
      </c>
      <c r="R372" s="53" t="s">
        <v>1736</v>
      </c>
    </row>
    <row r="373" spans="1:18" x14ac:dyDescent="0.25">
      <c r="A373" s="2"/>
      <c r="B373" s="3" t="s">
        <v>704</v>
      </c>
      <c r="C373" s="46" t="s">
        <v>234</v>
      </c>
      <c r="D373" s="55">
        <v>45439</v>
      </c>
      <c r="E373" s="5" t="s">
        <v>592</v>
      </c>
      <c r="F373" s="14"/>
      <c r="G373" s="32">
        <v>4.5781999999999998</v>
      </c>
      <c r="H373" s="13">
        <v>50000</v>
      </c>
      <c r="I373" s="61">
        <f t="shared" si="5"/>
        <v>228910</v>
      </c>
      <c r="J373" s="20" t="s">
        <v>234</v>
      </c>
      <c r="K373" s="9"/>
      <c r="L373" s="10"/>
      <c r="M373" s="15">
        <v>0</v>
      </c>
      <c r="N373" s="6"/>
      <c r="O373" s="12"/>
      <c r="P373" s="6">
        <v>5</v>
      </c>
      <c r="Q373" s="6" t="s">
        <v>487</v>
      </c>
      <c r="R373" s="53" t="s">
        <v>1736</v>
      </c>
    </row>
    <row r="374" spans="1:18" x14ac:dyDescent="0.25">
      <c r="A374" s="2"/>
      <c r="B374" s="3" t="s">
        <v>705</v>
      </c>
      <c r="C374" s="46" t="s">
        <v>234</v>
      </c>
      <c r="D374" s="55">
        <v>45439</v>
      </c>
      <c r="E374" s="5" t="s">
        <v>592</v>
      </c>
      <c r="F374" s="14"/>
      <c r="G374" s="32">
        <v>4.5781999999999998</v>
      </c>
      <c r="H374" s="13">
        <v>50000</v>
      </c>
      <c r="I374" s="61">
        <f t="shared" si="5"/>
        <v>228910</v>
      </c>
      <c r="J374" s="20" t="s">
        <v>234</v>
      </c>
      <c r="K374" s="9"/>
      <c r="L374" s="10"/>
      <c r="M374" s="15">
        <v>0</v>
      </c>
      <c r="N374" s="6"/>
      <c r="O374" s="12"/>
      <c r="P374" s="6">
        <v>5</v>
      </c>
      <c r="Q374" s="6" t="s">
        <v>487</v>
      </c>
      <c r="R374" s="53" t="s">
        <v>1736</v>
      </c>
    </row>
    <row r="375" spans="1:18" x14ac:dyDescent="0.25">
      <c r="A375" s="2"/>
      <c r="B375" s="3" t="s">
        <v>706</v>
      </c>
      <c r="C375" s="46" t="s">
        <v>1712</v>
      </c>
      <c r="D375" s="55">
        <v>45439</v>
      </c>
      <c r="E375" s="5" t="s">
        <v>707</v>
      </c>
      <c r="F375" s="6"/>
      <c r="G375" s="7">
        <v>4.5781999999999998</v>
      </c>
      <c r="H375" s="2">
        <v>15000</v>
      </c>
      <c r="I375" s="61">
        <f t="shared" si="5"/>
        <v>68673</v>
      </c>
      <c r="J375" s="8" t="s">
        <v>69</v>
      </c>
      <c r="K375" s="9"/>
      <c r="L375" s="10">
        <v>13734.6</v>
      </c>
      <c r="M375" s="11">
        <v>62879.745719999999</v>
      </c>
      <c r="N375" s="6"/>
      <c r="O375" s="12"/>
      <c r="P375" s="6">
        <v>5</v>
      </c>
      <c r="Q375" s="6" t="s">
        <v>487</v>
      </c>
      <c r="R375" s="53" t="s">
        <v>1736</v>
      </c>
    </row>
    <row r="376" spans="1:18" x14ac:dyDescent="0.25">
      <c r="A376" s="2"/>
      <c r="B376" s="3" t="s">
        <v>708</v>
      </c>
      <c r="C376" s="46" t="s">
        <v>1712</v>
      </c>
      <c r="D376" s="55">
        <v>45439</v>
      </c>
      <c r="E376" s="5" t="s">
        <v>709</v>
      </c>
      <c r="F376" s="6"/>
      <c r="G376" s="7">
        <v>4.5781999999999998</v>
      </c>
      <c r="H376" s="2">
        <v>10000</v>
      </c>
      <c r="I376" s="61">
        <f t="shared" si="5"/>
        <v>45782</v>
      </c>
      <c r="J376" s="8" t="s">
        <v>69</v>
      </c>
      <c r="K376" s="9"/>
      <c r="L376" s="10">
        <v>18312.8</v>
      </c>
      <c r="M376" s="11">
        <v>83839.660959999994</v>
      </c>
      <c r="N376" s="6"/>
      <c r="O376" s="12"/>
      <c r="P376" s="6">
        <v>5</v>
      </c>
      <c r="Q376" s="6" t="s">
        <v>487</v>
      </c>
      <c r="R376" s="53" t="s">
        <v>1736</v>
      </c>
    </row>
    <row r="377" spans="1:18" ht="25.5" x14ac:dyDescent="0.25">
      <c r="A377" s="2"/>
      <c r="B377" s="3" t="s">
        <v>710</v>
      </c>
      <c r="C377" s="4" t="s">
        <v>72</v>
      </c>
      <c r="D377" s="55">
        <v>45439</v>
      </c>
      <c r="E377" s="5" t="s">
        <v>711</v>
      </c>
      <c r="F377" s="6"/>
      <c r="G377" s="7">
        <v>4.5781999999999998</v>
      </c>
      <c r="H377" s="2">
        <v>19908</v>
      </c>
      <c r="I377" s="61">
        <f t="shared" si="5"/>
        <v>91142.805599999992</v>
      </c>
      <c r="J377" s="8" t="s">
        <v>122</v>
      </c>
      <c r="K377" s="9"/>
      <c r="L377" s="27">
        <v>0</v>
      </c>
      <c r="M377" s="11">
        <v>0</v>
      </c>
      <c r="N377" s="35" t="s">
        <v>678</v>
      </c>
      <c r="O377" s="12"/>
      <c r="P377" s="6">
        <v>5</v>
      </c>
      <c r="Q377" s="6" t="s">
        <v>487</v>
      </c>
      <c r="R377" s="53" t="s">
        <v>1736</v>
      </c>
    </row>
    <row r="378" spans="1:18" ht="25.5" x14ac:dyDescent="0.25">
      <c r="A378" s="2"/>
      <c r="B378" s="3" t="s">
        <v>712</v>
      </c>
      <c r="C378" s="4" t="s">
        <v>72</v>
      </c>
      <c r="D378" s="55">
        <v>45439</v>
      </c>
      <c r="E378" s="5" t="s">
        <v>713</v>
      </c>
      <c r="F378" s="6"/>
      <c r="G378" s="7">
        <v>4.5781999999999998</v>
      </c>
      <c r="H378" s="2">
        <v>8000</v>
      </c>
      <c r="I378" s="61">
        <f t="shared" si="5"/>
        <v>36625.599999999999</v>
      </c>
      <c r="J378" s="8" t="s">
        <v>122</v>
      </c>
      <c r="K378" s="9"/>
      <c r="L378" s="27">
        <v>0</v>
      </c>
      <c r="M378" s="11">
        <v>0</v>
      </c>
      <c r="N378" s="35" t="s">
        <v>714</v>
      </c>
      <c r="O378" s="12"/>
      <c r="P378" s="6">
        <v>5</v>
      </c>
      <c r="Q378" s="6" t="s">
        <v>487</v>
      </c>
      <c r="R378" s="53" t="s">
        <v>1736</v>
      </c>
    </row>
    <row r="379" spans="1:18" x14ac:dyDescent="0.25">
      <c r="A379" s="2"/>
      <c r="B379" s="3" t="s">
        <v>715</v>
      </c>
      <c r="C379" s="46" t="s">
        <v>1712</v>
      </c>
      <c r="D379" s="55">
        <v>45439</v>
      </c>
      <c r="E379" s="5" t="s">
        <v>716</v>
      </c>
      <c r="F379" s="6"/>
      <c r="G379" s="7">
        <v>4.5781999999999998</v>
      </c>
      <c r="H379" s="2">
        <v>55000</v>
      </c>
      <c r="I379" s="61">
        <f t="shared" si="5"/>
        <v>251801</v>
      </c>
      <c r="J379" s="8" t="s">
        <v>69</v>
      </c>
      <c r="K379" s="9"/>
      <c r="L379" s="10">
        <v>34341.07</v>
      </c>
      <c r="M379" s="11">
        <v>157220.286674</v>
      </c>
      <c r="N379" s="6"/>
      <c r="O379" s="12"/>
      <c r="P379" s="6">
        <v>5</v>
      </c>
      <c r="Q379" s="6" t="s">
        <v>487</v>
      </c>
      <c r="R379" s="53" t="s">
        <v>1736</v>
      </c>
    </row>
    <row r="380" spans="1:18" ht="25.5" x14ac:dyDescent="0.25">
      <c r="A380" s="2"/>
      <c r="B380" s="3" t="s">
        <v>717</v>
      </c>
      <c r="C380" s="4" t="s">
        <v>72</v>
      </c>
      <c r="D380" s="55">
        <v>45439</v>
      </c>
      <c r="E380" s="5" t="s">
        <v>716</v>
      </c>
      <c r="F380" s="6"/>
      <c r="G380" s="7">
        <v>4.5781999999999998</v>
      </c>
      <c r="H380" s="2">
        <v>60000</v>
      </c>
      <c r="I380" s="61">
        <f t="shared" si="5"/>
        <v>274692</v>
      </c>
      <c r="J380" s="8" t="s">
        <v>122</v>
      </c>
      <c r="K380" s="9"/>
      <c r="L380" s="27">
        <v>0</v>
      </c>
      <c r="M380" s="11">
        <v>0</v>
      </c>
      <c r="N380" s="35" t="s">
        <v>714</v>
      </c>
      <c r="O380" s="12"/>
      <c r="P380" s="6">
        <v>5</v>
      </c>
      <c r="Q380" s="6" t="s">
        <v>487</v>
      </c>
      <c r="R380" s="53" t="s">
        <v>1736</v>
      </c>
    </row>
    <row r="381" spans="1:18" x14ac:dyDescent="0.25">
      <c r="A381" s="2"/>
      <c r="B381" s="3" t="s">
        <v>718</v>
      </c>
      <c r="C381" s="46" t="s">
        <v>722</v>
      </c>
      <c r="D381" s="55">
        <v>45356</v>
      </c>
      <c r="E381" s="5" t="s">
        <v>719</v>
      </c>
      <c r="F381" s="14"/>
      <c r="G381" s="7">
        <v>4.5781999999999998</v>
      </c>
      <c r="H381" s="2">
        <v>255000</v>
      </c>
      <c r="I381" s="61">
        <f t="shared" si="5"/>
        <v>1167441</v>
      </c>
      <c r="J381" s="8" t="s">
        <v>77</v>
      </c>
      <c r="K381" s="9"/>
      <c r="L381" s="29">
        <v>0</v>
      </c>
      <c r="M381" s="11">
        <v>0</v>
      </c>
      <c r="N381" s="35"/>
      <c r="O381" s="12"/>
      <c r="P381" s="6">
        <v>3</v>
      </c>
      <c r="Q381" s="6" t="s">
        <v>152</v>
      </c>
      <c r="R381" s="53" t="s">
        <v>1736</v>
      </c>
    </row>
    <row r="382" spans="1:18" x14ac:dyDescent="0.25">
      <c r="A382" s="2"/>
      <c r="B382" s="3" t="s">
        <v>720</v>
      </c>
      <c r="C382" s="46" t="s">
        <v>722</v>
      </c>
      <c r="D382" s="55">
        <v>45356</v>
      </c>
      <c r="E382" s="5" t="s">
        <v>721</v>
      </c>
      <c r="F382" s="14"/>
      <c r="G382" s="32">
        <v>4.5781999999999998</v>
      </c>
      <c r="H382" s="13">
        <v>5375</v>
      </c>
      <c r="I382" s="61">
        <f t="shared" si="5"/>
        <v>24607.825000000001</v>
      </c>
      <c r="J382" s="20" t="s">
        <v>77</v>
      </c>
      <c r="K382" s="9"/>
      <c r="L382" s="29">
        <v>0</v>
      </c>
      <c r="M382" s="15">
        <v>0</v>
      </c>
      <c r="N382" s="36" t="s">
        <v>722</v>
      </c>
      <c r="O382" s="12"/>
      <c r="P382" s="6">
        <v>3</v>
      </c>
      <c r="Q382" s="6" t="s">
        <v>152</v>
      </c>
      <c r="R382" s="53" t="s">
        <v>1736</v>
      </c>
    </row>
    <row r="383" spans="1:18" x14ac:dyDescent="0.25">
      <c r="A383" s="2"/>
      <c r="B383" s="3" t="s">
        <v>723</v>
      </c>
      <c r="C383" s="46" t="s">
        <v>1711</v>
      </c>
      <c r="D383" s="55">
        <v>45356</v>
      </c>
      <c r="E383" s="5" t="s">
        <v>1773</v>
      </c>
      <c r="F383" s="6"/>
      <c r="G383" s="7">
        <v>4.5781999999999998</v>
      </c>
      <c r="H383" s="2">
        <v>7500</v>
      </c>
      <c r="I383" s="61">
        <f t="shared" si="5"/>
        <v>34336.5</v>
      </c>
      <c r="J383" s="8" t="s">
        <v>64</v>
      </c>
      <c r="K383" s="9"/>
      <c r="L383" s="10">
        <v>34336.5</v>
      </c>
      <c r="M383" s="11">
        <v>157199.36429999999</v>
      </c>
      <c r="N383" s="6"/>
      <c r="O383" s="12"/>
      <c r="P383" s="6">
        <v>3</v>
      </c>
      <c r="Q383" s="6" t="s">
        <v>152</v>
      </c>
      <c r="R383" s="53" t="s">
        <v>1736</v>
      </c>
    </row>
    <row r="384" spans="1:18" ht="25.5" x14ac:dyDescent="0.25">
      <c r="A384" s="2"/>
      <c r="B384" s="3" t="s">
        <v>724</v>
      </c>
      <c r="C384" s="4" t="s">
        <v>72</v>
      </c>
      <c r="D384" s="55">
        <v>45356</v>
      </c>
      <c r="E384" s="5" t="s">
        <v>1759</v>
      </c>
      <c r="F384" s="6"/>
      <c r="G384" s="7">
        <v>4.5781999999999998</v>
      </c>
      <c r="H384" s="2">
        <v>45000</v>
      </c>
      <c r="I384" s="61">
        <f t="shared" si="5"/>
        <v>206019</v>
      </c>
      <c r="J384" s="8" t="s">
        <v>725</v>
      </c>
      <c r="K384" s="9"/>
      <c r="L384" s="10"/>
      <c r="M384" s="11">
        <v>0</v>
      </c>
      <c r="N384" s="6"/>
      <c r="O384" s="12"/>
      <c r="P384" s="6">
        <v>3</v>
      </c>
      <c r="Q384" s="6" t="s">
        <v>152</v>
      </c>
      <c r="R384" s="53" t="s">
        <v>1736</v>
      </c>
    </row>
    <row r="385" spans="1:18" x14ac:dyDescent="0.25">
      <c r="A385" s="2"/>
      <c r="B385" s="3" t="s">
        <v>726</v>
      </c>
      <c r="C385" s="46" t="s">
        <v>722</v>
      </c>
      <c r="D385" s="55">
        <v>45356</v>
      </c>
      <c r="E385" s="5" t="s">
        <v>1774</v>
      </c>
      <c r="F385" s="6"/>
      <c r="G385" s="7">
        <v>4.5781999999999998</v>
      </c>
      <c r="H385" s="2">
        <v>50001</v>
      </c>
      <c r="I385" s="61">
        <f t="shared" si="5"/>
        <v>228914.57819999999</v>
      </c>
      <c r="J385" s="8" t="s">
        <v>77</v>
      </c>
      <c r="K385" s="9"/>
      <c r="L385" s="29">
        <v>0</v>
      </c>
      <c r="M385" s="11">
        <v>0</v>
      </c>
      <c r="N385" s="35"/>
      <c r="O385" s="12"/>
      <c r="P385" s="6">
        <v>3</v>
      </c>
      <c r="Q385" s="6" t="s">
        <v>152</v>
      </c>
      <c r="R385" s="53" t="s">
        <v>1736</v>
      </c>
    </row>
    <row r="386" spans="1:18" x14ac:dyDescent="0.25">
      <c r="A386" s="2"/>
      <c r="B386" s="3" t="s">
        <v>727</v>
      </c>
      <c r="C386" s="46" t="s">
        <v>234</v>
      </c>
      <c r="D386" s="55">
        <v>45356</v>
      </c>
      <c r="E386" s="5" t="s">
        <v>728</v>
      </c>
      <c r="F386" s="6"/>
      <c r="G386" s="7">
        <v>4.5781999999999998</v>
      </c>
      <c r="H386" s="2">
        <v>10000</v>
      </c>
      <c r="I386" s="61">
        <f t="shared" si="5"/>
        <v>45782</v>
      </c>
      <c r="J386" s="8" t="s">
        <v>234</v>
      </c>
      <c r="K386" s="9"/>
      <c r="L386" s="10"/>
      <c r="M386" s="11">
        <v>0</v>
      </c>
      <c r="N386" s="6"/>
      <c r="O386" s="12"/>
      <c r="P386" s="6">
        <v>3</v>
      </c>
      <c r="Q386" s="6" t="s">
        <v>152</v>
      </c>
      <c r="R386" s="53" t="s">
        <v>1736</v>
      </c>
    </row>
    <row r="387" spans="1:18" x14ac:dyDescent="0.25">
      <c r="A387" s="2"/>
      <c r="B387" s="3" t="s">
        <v>729</v>
      </c>
      <c r="C387" s="46" t="s">
        <v>234</v>
      </c>
      <c r="D387" s="55">
        <v>45257</v>
      </c>
      <c r="E387" s="5" t="s">
        <v>730</v>
      </c>
      <c r="F387" s="6"/>
      <c r="G387" s="7">
        <v>4.5781999999999998</v>
      </c>
      <c r="H387" s="2">
        <v>400</v>
      </c>
      <c r="I387" s="61">
        <f t="shared" ref="I387:I450" si="6">IF(H387&lt;&gt;0, G387*H387, "")</f>
        <v>1831.28</v>
      </c>
      <c r="J387" s="8" t="s">
        <v>234</v>
      </c>
      <c r="K387" s="9"/>
      <c r="L387" s="10"/>
      <c r="M387" s="11">
        <v>0</v>
      </c>
      <c r="N387" s="6"/>
      <c r="O387" s="12"/>
      <c r="P387" s="6">
        <v>11</v>
      </c>
      <c r="Q387" s="6" t="s">
        <v>452</v>
      </c>
      <c r="R387" s="53" t="s">
        <v>1736</v>
      </c>
    </row>
    <row r="388" spans="1:18" x14ac:dyDescent="0.25">
      <c r="A388" s="2"/>
      <c r="B388" s="3" t="s">
        <v>731</v>
      </c>
      <c r="C388" s="46" t="s">
        <v>234</v>
      </c>
      <c r="D388" s="55">
        <v>45257</v>
      </c>
      <c r="E388" s="5" t="s">
        <v>486</v>
      </c>
      <c r="F388" s="6"/>
      <c r="G388" s="7">
        <v>4.5781999999999998</v>
      </c>
      <c r="H388" s="2">
        <v>50000</v>
      </c>
      <c r="I388" s="61">
        <f t="shared" si="6"/>
        <v>228910</v>
      </c>
      <c r="J388" s="8" t="s">
        <v>234</v>
      </c>
      <c r="K388" s="9"/>
      <c r="L388" s="10"/>
      <c r="M388" s="11">
        <v>0</v>
      </c>
      <c r="N388" s="6"/>
      <c r="O388" s="37">
        <v>44053</v>
      </c>
      <c r="P388" s="6">
        <v>11</v>
      </c>
      <c r="Q388" s="6" t="s">
        <v>452</v>
      </c>
      <c r="R388" s="53" t="s">
        <v>1736</v>
      </c>
    </row>
    <row r="389" spans="1:18" x14ac:dyDescent="0.25">
      <c r="A389" s="2"/>
      <c r="B389" s="3" t="s">
        <v>732</v>
      </c>
      <c r="C389" s="46" t="s">
        <v>234</v>
      </c>
      <c r="D389" s="55">
        <v>45257</v>
      </c>
      <c r="E389" s="5" t="s">
        <v>664</v>
      </c>
      <c r="F389" s="6"/>
      <c r="G389" s="7">
        <v>4.5781999999999998</v>
      </c>
      <c r="H389" s="2">
        <v>80000</v>
      </c>
      <c r="I389" s="61">
        <f t="shared" si="6"/>
        <v>366256</v>
      </c>
      <c r="J389" s="8" t="s">
        <v>234</v>
      </c>
      <c r="K389" s="9"/>
      <c r="L389" s="10"/>
      <c r="M389" s="11">
        <v>0</v>
      </c>
      <c r="N389" s="6"/>
      <c r="O389" s="37">
        <v>43689</v>
      </c>
      <c r="P389" s="6">
        <v>11</v>
      </c>
      <c r="Q389" s="6" t="s">
        <v>452</v>
      </c>
      <c r="R389" s="53" t="s">
        <v>1736</v>
      </c>
    </row>
    <row r="390" spans="1:18" x14ac:dyDescent="0.25">
      <c r="A390" s="2"/>
      <c r="B390" s="3" t="s">
        <v>733</v>
      </c>
      <c r="C390" s="46" t="s">
        <v>234</v>
      </c>
      <c r="D390" s="55">
        <v>45257</v>
      </c>
      <c r="E390" s="5" t="s">
        <v>734</v>
      </c>
      <c r="F390" s="6"/>
      <c r="G390" s="7">
        <v>4.5781999999999998</v>
      </c>
      <c r="H390" s="2">
        <v>7500</v>
      </c>
      <c r="I390" s="61">
        <f t="shared" si="6"/>
        <v>34336.5</v>
      </c>
      <c r="J390" s="8" t="s">
        <v>234</v>
      </c>
      <c r="K390" s="9"/>
      <c r="L390" s="10"/>
      <c r="M390" s="11">
        <v>0</v>
      </c>
      <c r="N390" s="6"/>
      <c r="O390" s="12"/>
      <c r="P390" s="6">
        <v>11</v>
      </c>
      <c r="Q390" s="6" t="s">
        <v>452</v>
      </c>
      <c r="R390" s="53" t="s">
        <v>1736</v>
      </c>
    </row>
    <row r="391" spans="1:18" x14ac:dyDescent="0.25">
      <c r="A391" s="2"/>
      <c r="B391" s="3" t="s">
        <v>735</v>
      </c>
      <c r="C391" s="46" t="s">
        <v>234</v>
      </c>
      <c r="D391" s="55">
        <v>45257</v>
      </c>
      <c r="E391" s="5" t="s">
        <v>592</v>
      </c>
      <c r="F391" s="14"/>
      <c r="G391" s="32">
        <v>4.5781999999999998</v>
      </c>
      <c r="H391" s="13">
        <v>50000</v>
      </c>
      <c r="I391" s="61">
        <f t="shared" si="6"/>
        <v>228910</v>
      </c>
      <c r="J391" s="20" t="s">
        <v>234</v>
      </c>
      <c r="K391" s="9"/>
      <c r="L391" s="10"/>
      <c r="M391" s="15">
        <v>0</v>
      </c>
      <c r="N391" s="6"/>
      <c r="O391" s="38">
        <v>44325</v>
      </c>
      <c r="P391" s="6">
        <v>11</v>
      </c>
      <c r="Q391" s="6" t="s">
        <v>452</v>
      </c>
      <c r="R391" s="53" t="s">
        <v>1736</v>
      </c>
    </row>
    <row r="392" spans="1:18" x14ac:dyDescent="0.25">
      <c r="A392" s="2"/>
      <c r="B392" s="3" t="s">
        <v>736</v>
      </c>
      <c r="C392" s="46" t="s">
        <v>234</v>
      </c>
      <c r="D392" s="55">
        <v>45257</v>
      </c>
      <c r="E392" s="5" t="s">
        <v>737</v>
      </c>
      <c r="F392" s="14"/>
      <c r="G392" s="32">
        <v>4.5781999999999998</v>
      </c>
      <c r="H392" s="13">
        <v>1000</v>
      </c>
      <c r="I392" s="61">
        <f t="shared" si="6"/>
        <v>4578.2</v>
      </c>
      <c r="J392" s="20" t="s">
        <v>234</v>
      </c>
      <c r="K392" s="9"/>
      <c r="L392" s="10"/>
      <c r="M392" s="15">
        <v>0</v>
      </c>
      <c r="N392" s="6"/>
      <c r="O392" s="38">
        <v>43765</v>
      </c>
      <c r="P392" s="6">
        <v>11</v>
      </c>
      <c r="Q392" s="6" t="s">
        <v>452</v>
      </c>
      <c r="R392" s="53" t="s">
        <v>1736</v>
      </c>
    </row>
    <row r="393" spans="1:18" x14ac:dyDescent="0.25">
      <c r="A393" s="2"/>
      <c r="B393" s="3" t="s">
        <v>738</v>
      </c>
      <c r="C393" s="46" t="s">
        <v>1711</v>
      </c>
      <c r="D393" s="55">
        <v>45257</v>
      </c>
      <c r="E393" s="5" t="s">
        <v>1775</v>
      </c>
      <c r="F393" s="6"/>
      <c r="G393" s="7">
        <v>4.5781999999999998</v>
      </c>
      <c r="H393" s="2">
        <v>7501</v>
      </c>
      <c r="I393" s="61">
        <f t="shared" si="6"/>
        <v>34341.078199999996</v>
      </c>
      <c r="J393" s="8" t="s">
        <v>64</v>
      </c>
      <c r="K393" s="9"/>
      <c r="L393" s="10">
        <v>7501</v>
      </c>
      <c r="M393" s="11">
        <v>34341.078200000004</v>
      </c>
      <c r="N393" s="6"/>
      <c r="O393" s="12"/>
      <c r="P393" s="6">
        <v>11</v>
      </c>
      <c r="Q393" s="6" t="s">
        <v>452</v>
      </c>
      <c r="R393" s="53" t="s">
        <v>1736</v>
      </c>
    </row>
    <row r="394" spans="1:18" x14ac:dyDescent="0.25">
      <c r="A394" s="2"/>
      <c r="B394" s="3" t="s">
        <v>739</v>
      </c>
      <c r="C394" s="46" t="s">
        <v>1712</v>
      </c>
      <c r="D394" s="55">
        <v>45257</v>
      </c>
      <c r="E394" s="5" t="s">
        <v>740</v>
      </c>
      <c r="F394" s="6"/>
      <c r="G394" s="7">
        <v>4.5781999999999998</v>
      </c>
      <c r="H394" s="2">
        <v>4000</v>
      </c>
      <c r="I394" s="61">
        <f t="shared" si="6"/>
        <v>18312.8</v>
      </c>
      <c r="J394" s="8" t="s">
        <v>69</v>
      </c>
      <c r="K394" s="9"/>
      <c r="L394" s="10">
        <v>2000</v>
      </c>
      <c r="M394" s="11">
        <v>9156.4</v>
      </c>
      <c r="N394" s="6"/>
      <c r="O394" s="12"/>
      <c r="P394" s="6">
        <v>11</v>
      </c>
      <c r="Q394" s="6" t="s">
        <v>452</v>
      </c>
      <c r="R394" s="53" t="s">
        <v>1736</v>
      </c>
    </row>
    <row r="395" spans="1:18" x14ac:dyDescent="0.25">
      <c r="A395" s="2"/>
      <c r="B395" s="3" t="s">
        <v>741</v>
      </c>
      <c r="C395" s="46" t="s">
        <v>234</v>
      </c>
      <c r="D395" s="55">
        <v>45257</v>
      </c>
      <c r="E395" s="5" t="s">
        <v>742</v>
      </c>
      <c r="F395" s="14"/>
      <c r="G395" s="32">
        <v>4.5781999999999998</v>
      </c>
      <c r="H395" s="13">
        <v>7501</v>
      </c>
      <c r="I395" s="61">
        <f t="shared" si="6"/>
        <v>34341.078199999996</v>
      </c>
      <c r="J395" s="20" t="s">
        <v>234</v>
      </c>
      <c r="K395" s="9"/>
      <c r="L395" s="10"/>
      <c r="M395" s="15">
        <v>0</v>
      </c>
      <c r="N395" s="6"/>
      <c r="O395" s="38">
        <v>44003</v>
      </c>
      <c r="P395" s="6">
        <v>11</v>
      </c>
      <c r="Q395" s="6" t="s">
        <v>452</v>
      </c>
      <c r="R395" s="53" t="s">
        <v>1736</v>
      </c>
    </row>
    <row r="396" spans="1:18" x14ac:dyDescent="0.25">
      <c r="A396" s="2"/>
      <c r="B396" s="3" t="s">
        <v>743</v>
      </c>
      <c r="C396" s="46" t="s">
        <v>1711</v>
      </c>
      <c r="D396" s="55">
        <v>45257</v>
      </c>
      <c r="E396" s="5" t="s">
        <v>744</v>
      </c>
      <c r="F396" s="6"/>
      <c r="G396" s="7">
        <v>4.5781999999999998</v>
      </c>
      <c r="H396" s="2">
        <v>383000</v>
      </c>
      <c r="I396" s="61">
        <f t="shared" si="6"/>
        <v>1753450.5999999999</v>
      </c>
      <c r="J396" s="8" t="s">
        <v>64</v>
      </c>
      <c r="K396" s="9"/>
      <c r="L396" s="10">
        <v>383000</v>
      </c>
      <c r="M396" s="11">
        <v>1753450.6</v>
      </c>
      <c r="N396" s="6"/>
      <c r="O396" s="12"/>
      <c r="P396" s="6">
        <v>11</v>
      </c>
      <c r="Q396" s="6" t="s">
        <v>452</v>
      </c>
      <c r="R396" s="53" t="s">
        <v>1736</v>
      </c>
    </row>
    <row r="397" spans="1:18" x14ac:dyDescent="0.25">
      <c r="A397" s="2"/>
      <c r="B397" s="3" t="s">
        <v>745</v>
      </c>
      <c r="C397" s="46" t="s">
        <v>1711</v>
      </c>
      <c r="D397" s="55">
        <v>45257</v>
      </c>
      <c r="E397" s="5" t="s">
        <v>744</v>
      </c>
      <c r="F397" s="6"/>
      <c r="G397" s="7">
        <v>4.5781999999999998</v>
      </c>
      <c r="H397" s="2">
        <v>68000</v>
      </c>
      <c r="I397" s="61">
        <f t="shared" si="6"/>
        <v>311317.59999999998</v>
      </c>
      <c r="J397" s="8" t="s">
        <v>64</v>
      </c>
      <c r="K397" s="9"/>
      <c r="L397" s="10">
        <v>68000</v>
      </c>
      <c r="M397" s="11">
        <v>311317.59999999998</v>
      </c>
      <c r="N397" s="6"/>
      <c r="O397" s="12"/>
      <c r="P397" s="6">
        <v>11</v>
      </c>
      <c r="Q397" s="6" t="s">
        <v>452</v>
      </c>
      <c r="R397" s="53" t="s">
        <v>1736</v>
      </c>
    </row>
    <row r="398" spans="1:18" x14ac:dyDescent="0.25">
      <c r="A398" s="2"/>
      <c r="B398" s="3" t="s">
        <v>746</v>
      </c>
      <c r="C398" s="46" t="s">
        <v>234</v>
      </c>
      <c r="D398" s="55">
        <v>45257</v>
      </c>
      <c r="E398" s="5" t="s">
        <v>747</v>
      </c>
      <c r="F398" s="14"/>
      <c r="G398" s="32">
        <v>4.5781999999999998</v>
      </c>
      <c r="H398" s="13">
        <v>1400</v>
      </c>
      <c r="I398" s="61">
        <f t="shared" si="6"/>
        <v>6409.48</v>
      </c>
      <c r="J398" s="20" t="s">
        <v>234</v>
      </c>
      <c r="K398" s="9"/>
      <c r="L398" s="10"/>
      <c r="M398" s="15">
        <v>0</v>
      </c>
      <c r="N398" s="6"/>
      <c r="O398" s="38">
        <v>43727</v>
      </c>
      <c r="P398" s="6">
        <v>11</v>
      </c>
      <c r="Q398" s="6" t="s">
        <v>452</v>
      </c>
      <c r="R398" s="53" t="s">
        <v>1736</v>
      </c>
    </row>
    <row r="399" spans="1:18" x14ac:dyDescent="0.25">
      <c r="A399" s="2"/>
      <c r="B399" s="39" t="s">
        <v>748</v>
      </c>
      <c r="C399" s="52" t="s">
        <v>1711</v>
      </c>
      <c r="D399" s="57">
        <v>45257</v>
      </c>
      <c r="E399" s="40" t="s">
        <v>365</v>
      </c>
      <c r="F399" s="6"/>
      <c r="G399" s="41"/>
      <c r="H399" s="42">
        <v>28000</v>
      </c>
      <c r="I399" s="61">
        <f t="shared" si="6"/>
        <v>0</v>
      </c>
      <c r="J399" s="8" t="s">
        <v>64</v>
      </c>
      <c r="K399" s="9"/>
      <c r="L399" s="10">
        <v>28000</v>
      </c>
      <c r="M399" s="11">
        <v>0</v>
      </c>
      <c r="N399" s="6"/>
      <c r="O399" s="12"/>
      <c r="P399" s="6">
        <v>11</v>
      </c>
      <c r="Q399" s="6" t="s">
        <v>452</v>
      </c>
      <c r="R399" s="53" t="s">
        <v>1736</v>
      </c>
    </row>
    <row r="400" spans="1:18" x14ac:dyDescent="0.25">
      <c r="A400" s="2"/>
      <c r="B400" s="39" t="s">
        <v>749</v>
      </c>
      <c r="C400" s="52" t="s">
        <v>1711</v>
      </c>
      <c r="D400" s="57">
        <v>45257</v>
      </c>
      <c r="E400" s="40" t="s">
        <v>365</v>
      </c>
      <c r="F400" s="6"/>
      <c r="G400" s="41"/>
      <c r="H400" s="42">
        <v>50000</v>
      </c>
      <c r="I400" s="61">
        <f t="shared" si="6"/>
        <v>0</v>
      </c>
      <c r="J400" s="8" t="s">
        <v>64</v>
      </c>
      <c r="K400" s="9"/>
      <c r="L400" s="10">
        <v>50000</v>
      </c>
      <c r="M400" s="11">
        <v>0</v>
      </c>
      <c r="N400" s="6"/>
      <c r="O400" s="12"/>
      <c r="P400" s="6">
        <v>11</v>
      </c>
      <c r="Q400" s="6" t="s">
        <v>452</v>
      </c>
      <c r="R400" s="53" t="s">
        <v>1736</v>
      </c>
    </row>
    <row r="401" spans="1:18" x14ac:dyDescent="0.25">
      <c r="A401" s="2"/>
      <c r="B401" s="3" t="s">
        <v>750</v>
      </c>
      <c r="C401" s="46" t="s">
        <v>722</v>
      </c>
      <c r="D401" s="55">
        <v>45257</v>
      </c>
      <c r="E401" s="5" t="s">
        <v>751</v>
      </c>
      <c r="F401" s="6"/>
      <c r="G401" s="7">
        <v>4.5781999999999998</v>
      </c>
      <c r="H401" s="2">
        <v>3000</v>
      </c>
      <c r="I401" s="61">
        <f t="shared" si="6"/>
        <v>13734.6</v>
      </c>
      <c r="J401" s="8" t="s">
        <v>77</v>
      </c>
      <c r="K401" s="9"/>
      <c r="L401" s="29">
        <v>0</v>
      </c>
      <c r="M401" s="11">
        <v>0</v>
      </c>
      <c r="N401" s="43" t="s">
        <v>752</v>
      </c>
      <c r="O401" s="12"/>
      <c r="P401" s="6">
        <v>11</v>
      </c>
      <c r="Q401" s="6" t="s">
        <v>452</v>
      </c>
      <c r="R401" s="53" t="s">
        <v>1736</v>
      </c>
    </row>
    <row r="402" spans="1:18" x14ac:dyDescent="0.25">
      <c r="A402" s="2"/>
      <c r="B402" s="3" t="s">
        <v>753</v>
      </c>
      <c r="C402" s="46" t="s">
        <v>234</v>
      </c>
      <c r="D402" s="55">
        <v>45257</v>
      </c>
      <c r="E402" s="5" t="s">
        <v>754</v>
      </c>
      <c r="F402" s="14"/>
      <c r="G402" s="32">
        <v>4.5781999999999998</v>
      </c>
      <c r="H402" s="13">
        <v>1000</v>
      </c>
      <c r="I402" s="61">
        <f t="shared" si="6"/>
        <v>4578.2</v>
      </c>
      <c r="J402" s="20" t="s">
        <v>234</v>
      </c>
      <c r="K402" s="9"/>
      <c r="L402" s="10"/>
      <c r="M402" s="15">
        <v>0</v>
      </c>
      <c r="N402" s="6"/>
      <c r="O402" s="38">
        <v>43885</v>
      </c>
      <c r="P402" s="6">
        <v>11</v>
      </c>
      <c r="Q402" s="6" t="s">
        <v>452</v>
      </c>
      <c r="R402" s="53" t="s">
        <v>1736</v>
      </c>
    </row>
    <row r="403" spans="1:18" x14ac:dyDescent="0.25">
      <c r="A403" s="2"/>
      <c r="B403" s="3" t="s">
        <v>755</v>
      </c>
      <c r="C403" s="46" t="s">
        <v>722</v>
      </c>
      <c r="D403" s="55">
        <v>45257</v>
      </c>
      <c r="E403" s="5" t="s">
        <v>466</v>
      </c>
      <c r="F403" s="14"/>
      <c r="G403" s="32">
        <v>4.5781999999999998</v>
      </c>
      <c r="H403" s="13">
        <v>2000</v>
      </c>
      <c r="I403" s="61">
        <f t="shared" si="6"/>
        <v>9156.4</v>
      </c>
      <c r="J403" s="20" t="s">
        <v>77</v>
      </c>
      <c r="K403" s="9"/>
      <c r="L403" s="29">
        <v>0</v>
      </c>
      <c r="M403" s="15">
        <v>0</v>
      </c>
      <c r="N403" s="36" t="s">
        <v>722</v>
      </c>
      <c r="O403" s="12"/>
      <c r="P403" s="6">
        <v>11</v>
      </c>
      <c r="Q403" s="6" t="s">
        <v>452</v>
      </c>
      <c r="R403" s="53" t="s">
        <v>1736</v>
      </c>
    </row>
    <row r="404" spans="1:18" x14ac:dyDescent="0.25">
      <c r="A404" s="2"/>
      <c r="B404" s="3" t="s">
        <v>756</v>
      </c>
      <c r="C404" s="46" t="s">
        <v>234</v>
      </c>
      <c r="D404" s="55">
        <v>45257</v>
      </c>
      <c r="E404" s="5" t="s">
        <v>466</v>
      </c>
      <c r="F404" s="14"/>
      <c r="G404" s="32">
        <v>4.5781999999999998</v>
      </c>
      <c r="H404" s="13">
        <v>20000</v>
      </c>
      <c r="I404" s="61">
        <f t="shared" si="6"/>
        <v>91564</v>
      </c>
      <c r="J404" s="20" t="s">
        <v>234</v>
      </c>
      <c r="K404" s="9"/>
      <c r="L404" s="10"/>
      <c r="M404" s="15">
        <v>0</v>
      </c>
      <c r="N404" s="6"/>
      <c r="O404" s="38">
        <v>43184</v>
      </c>
      <c r="P404" s="6">
        <v>11</v>
      </c>
      <c r="Q404" s="6" t="s">
        <v>452</v>
      </c>
      <c r="R404" s="53" t="s">
        <v>1736</v>
      </c>
    </row>
    <row r="405" spans="1:18" x14ac:dyDescent="0.25">
      <c r="A405" s="2"/>
      <c r="B405" s="3" t="s">
        <v>757</v>
      </c>
      <c r="C405" s="46" t="s">
        <v>722</v>
      </c>
      <c r="D405" s="55">
        <v>45257</v>
      </c>
      <c r="E405" s="5" t="s">
        <v>616</v>
      </c>
      <c r="F405" s="14"/>
      <c r="G405" s="32">
        <v>4.5781999999999998</v>
      </c>
      <c r="H405" s="13">
        <v>5000</v>
      </c>
      <c r="I405" s="61">
        <f t="shared" si="6"/>
        <v>22891</v>
      </c>
      <c r="J405" s="20" t="s">
        <v>77</v>
      </c>
      <c r="K405" s="9"/>
      <c r="L405" s="29">
        <v>0</v>
      </c>
      <c r="M405" s="15">
        <v>0</v>
      </c>
      <c r="N405" s="36" t="s">
        <v>722</v>
      </c>
      <c r="O405" s="12"/>
      <c r="P405" s="6">
        <v>11</v>
      </c>
      <c r="Q405" s="6" t="s">
        <v>452</v>
      </c>
      <c r="R405" s="53" t="s">
        <v>1736</v>
      </c>
    </row>
    <row r="406" spans="1:18" x14ac:dyDescent="0.25">
      <c r="A406" s="2"/>
      <c r="B406" s="3" t="s">
        <v>758</v>
      </c>
      <c r="C406" s="46" t="s">
        <v>1712</v>
      </c>
      <c r="D406" s="55">
        <v>45257</v>
      </c>
      <c r="E406" s="5" t="s">
        <v>759</v>
      </c>
      <c r="F406" s="14"/>
      <c r="G406" s="32">
        <v>4.5781999999999998</v>
      </c>
      <c r="H406" s="13">
        <v>10000</v>
      </c>
      <c r="I406" s="61">
        <f t="shared" si="6"/>
        <v>45782</v>
      </c>
      <c r="J406" s="20" t="s">
        <v>69</v>
      </c>
      <c r="K406" s="9"/>
      <c r="L406" s="21">
        <v>27469.200000000001</v>
      </c>
      <c r="M406" s="15">
        <v>125759.49144</v>
      </c>
      <c r="N406" s="6"/>
      <c r="O406" s="12"/>
      <c r="P406" s="6">
        <v>11</v>
      </c>
      <c r="Q406" s="6" t="s">
        <v>452</v>
      </c>
      <c r="R406" s="53" t="s">
        <v>1736</v>
      </c>
    </row>
    <row r="407" spans="1:18" x14ac:dyDescent="0.25">
      <c r="A407" s="2"/>
      <c r="B407" s="3" t="s">
        <v>760</v>
      </c>
      <c r="C407" s="46" t="s">
        <v>1711</v>
      </c>
      <c r="D407" s="55">
        <v>45257</v>
      </c>
      <c r="E407" s="5" t="s">
        <v>761</v>
      </c>
      <c r="F407" s="6"/>
      <c r="G407" s="7">
        <v>4.5781999999999998</v>
      </c>
      <c r="H407" s="2">
        <v>55000</v>
      </c>
      <c r="I407" s="61">
        <f t="shared" si="6"/>
        <v>251801</v>
      </c>
      <c r="J407" s="8" t="s">
        <v>64</v>
      </c>
      <c r="K407" s="9"/>
      <c r="L407" s="10">
        <v>55000</v>
      </c>
      <c r="M407" s="11">
        <v>251801</v>
      </c>
      <c r="N407" s="6"/>
      <c r="O407" s="12"/>
      <c r="P407" s="6">
        <v>11</v>
      </c>
      <c r="Q407" s="6" t="s">
        <v>452</v>
      </c>
      <c r="R407" s="53" t="s">
        <v>1736</v>
      </c>
    </row>
    <row r="408" spans="1:18" x14ac:dyDescent="0.25">
      <c r="A408" s="2"/>
      <c r="B408" s="3" t="s">
        <v>762</v>
      </c>
      <c r="C408" s="46" t="s">
        <v>1711</v>
      </c>
      <c r="D408" s="55">
        <v>45257</v>
      </c>
      <c r="E408" s="5" t="s">
        <v>125</v>
      </c>
      <c r="F408" s="6"/>
      <c r="G408" s="7">
        <v>4.5781999999999998</v>
      </c>
      <c r="H408" s="2">
        <v>0</v>
      </c>
      <c r="I408" s="61" t="str">
        <f t="shared" si="6"/>
        <v/>
      </c>
      <c r="J408" s="8" t="s">
        <v>64</v>
      </c>
      <c r="K408" s="9"/>
      <c r="L408" s="10">
        <v>2000</v>
      </c>
      <c r="M408" s="11">
        <v>2000</v>
      </c>
      <c r="N408" s="6"/>
      <c r="O408" s="12"/>
      <c r="P408" s="6">
        <v>11</v>
      </c>
      <c r="Q408" s="6" t="s">
        <v>452</v>
      </c>
      <c r="R408" s="53" t="s">
        <v>1736</v>
      </c>
    </row>
    <row r="409" spans="1:18" x14ac:dyDescent="0.25">
      <c r="A409" s="2"/>
      <c r="B409" s="3" t="s">
        <v>763</v>
      </c>
      <c r="C409" s="46" t="s">
        <v>1711</v>
      </c>
      <c r="D409" s="55">
        <v>45257</v>
      </c>
      <c r="E409" s="5" t="s">
        <v>764</v>
      </c>
      <c r="F409" s="6"/>
      <c r="G409" s="7">
        <v>4.5781999999999998</v>
      </c>
      <c r="H409" s="2">
        <v>0</v>
      </c>
      <c r="I409" s="61" t="str">
        <f t="shared" si="6"/>
        <v/>
      </c>
      <c r="J409" s="8" t="s">
        <v>64</v>
      </c>
      <c r="K409" s="9"/>
      <c r="L409" s="10">
        <v>12000</v>
      </c>
      <c r="M409" s="11">
        <v>12000</v>
      </c>
      <c r="N409" s="6"/>
      <c r="O409" s="12"/>
      <c r="P409" s="6">
        <v>11</v>
      </c>
      <c r="Q409" s="6" t="s">
        <v>452</v>
      </c>
      <c r="R409" s="53" t="s">
        <v>1736</v>
      </c>
    </row>
    <row r="410" spans="1:18" x14ac:dyDescent="0.25">
      <c r="A410" s="2"/>
      <c r="B410" s="3" t="s">
        <v>765</v>
      </c>
      <c r="C410" s="46" t="s">
        <v>1712</v>
      </c>
      <c r="D410" s="55">
        <v>45257</v>
      </c>
      <c r="E410" s="5" t="s">
        <v>766</v>
      </c>
      <c r="F410" s="6"/>
      <c r="G410" s="7">
        <v>4.5781999999999998</v>
      </c>
      <c r="H410" s="2">
        <v>1500</v>
      </c>
      <c r="I410" s="61">
        <f t="shared" si="6"/>
        <v>6867.3</v>
      </c>
      <c r="J410" s="8" t="s">
        <v>69</v>
      </c>
      <c r="K410" s="9"/>
      <c r="L410" s="10">
        <v>1145</v>
      </c>
      <c r="M410" s="11">
        <v>5242.0389999999998</v>
      </c>
      <c r="N410" s="6"/>
      <c r="O410" s="12"/>
      <c r="P410" s="6">
        <v>11</v>
      </c>
      <c r="Q410" s="6" t="s">
        <v>452</v>
      </c>
      <c r="R410" s="53" t="s">
        <v>1736</v>
      </c>
    </row>
    <row r="411" spans="1:18" x14ac:dyDescent="0.25">
      <c r="A411" s="2"/>
      <c r="B411" s="3" t="s">
        <v>767</v>
      </c>
      <c r="C411" s="46" t="s">
        <v>1712</v>
      </c>
      <c r="D411" s="55">
        <v>45257</v>
      </c>
      <c r="E411" s="5" t="s">
        <v>766</v>
      </c>
      <c r="F411" s="6"/>
      <c r="G411" s="7">
        <v>4.5781999999999998</v>
      </c>
      <c r="H411" s="2">
        <v>50001</v>
      </c>
      <c r="I411" s="61">
        <f t="shared" si="6"/>
        <v>228914.57819999999</v>
      </c>
      <c r="J411" s="8" t="s">
        <v>69</v>
      </c>
      <c r="K411" s="9"/>
      <c r="L411" s="10">
        <v>4000</v>
      </c>
      <c r="M411" s="11">
        <v>18312.8</v>
      </c>
      <c r="N411" s="6"/>
      <c r="O411" s="12"/>
      <c r="P411" s="6">
        <v>11</v>
      </c>
      <c r="Q411" s="6" t="s">
        <v>452</v>
      </c>
      <c r="R411" s="53" t="s">
        <v>1736</v>
      </c>
    </row>
    <row r="412" spans="1:18" x14ac:dyDescent="0.25">
      <c r="A412" s="2"/>
      <c r="B412" s="3" t="s">
        <v>768</v>
      </c>
      <c r="C412" s="46" t="s">
        <v>234</v>
      </c>
      <c r="D412" s="55">
        <v>45257</v>
      </c>
      <c r="E412" s="5" t="s">
        <v>1742</v>
      </c>
      <c r="F412" s="14"/>
      <c r="G412" s="32">
        <v>4.5781999999999998</v>
      </c>
      <c r="H412" s="13">
        <v>7501</v>
      </c>
      <c r="I412" s="61">
        <f t="shared" si="6"/>
        <v>34341.078199999996</v>
      </c>
      <c r="J412" s="20" t="s">
        <v>234</v>
      </c>
      <c r="K412" s="9"/>
      <c r="L412" s="10"/>
      <c r="M412" s="15">
        <v>0</v>
      </c>
      <c r="N412" s="6"/>
      <c r="O412" s="38">
        <v>43959</v>
      </c>
      <c r="P412" s="6">
        <v>11</v>
      </c>
      <c r="Q412" s="6" t="s">
        <v>452</v>
      </c>
      <c r="R412" s="53" t="s">
        <v>1736</v>
      </c>
    </row>
    <row r="413" spans="1:18" x14ac:dyDescent="0.25">
      <c r="A413" s="2"/>
      <c r="B413" s="3" t="s">
        <v>769</v>
      </c>
      <c r="C413" s="46" t="s">
        <v>1711</v>
      </c>
      <c r="D413" s="55">
        <v>45257</v>
      </c>
      <c r="E413" s="5" t="s">
        <v>770</v>
      </c>
      <c r="F413" s="6"/>
      <c r="G413" s="7">
        <v>4.5781999999999998</v>
      </c>
      <c r="H413" s="2">
        <v>10000</v>
      </c>
      <c r="I413" s="61">
        <f t="shared" si="6"/>
        <v>45782</v>
      </c>
      <c r="J413" s="8" t="s">
        <v>64</v>
      </c>
      <c r="K413" s="9"/>
      <c r="L413" s="10">
        <v>45782</v>
      </c>
      <c r="M413" s="11">
        <v>209599.15239999999</v>
      </c>
      <c r="N413" s="6"/>
      <c r="O413" s="12"/>
      <c r="P413" s="6">
        <v>11</v>
      </c>
      <c r="Q413" s="6" t="s">
        <v>452</v>
      </c>
      <c r="R413" s="53" t="s">
        <v>1736</v>
      </c>
    </row>
    <row r="414" spans="1:18" x14ac:dyDescent="0.25">
      <c r="A414" s="2"/>
      <c r="B414" s="3" t="s">
        <v>771</v>
      </c>
      <c r="C414" s="46" t="s">
        <v>234</v>
      </c>
      <c r="D414" s="55">
        <v>45257</v>
      </c>
      <c r="E414" s="5" t="s">
        <v>772</v>
      </c>
      <c r="F414" s="6"/>
      <c r="G414" s="7">
        <v>4.5781999999999998</v>
      </c>
      <c r="H414" s="2">
        <v>7500</v>
      </c>
      <c r="I414" s="61">
        <f t="shared" si="6"/>
        <v>34336.5</v>
      </c>
      <c r="J414" s="8" t="s">
        <v>234</v>
      </c>
      <c r="K414" s="9"/>
      <c r="L414" s="10"/>
      <c r="M414" s="11">
        <v>0</v>
      </c>
      <c r="N414" s="6"/>
      <c r="O414" s="12"/>
      <c r="P414" s="6">
        <v>11</v>
      </c>
      <c r="Q414" s="6" t="s">
        <v>452</v>
      </c>
      <c r="R414" s="53" t="s">
        <v>1736</v>
      </c>
    </row>
    <row r="415" spans="1:18" x14ac:dyDescent="0.25">
      <c r="A415" s="2"/>
      <c r="B415" s="3" t="s">
        <v>773</v>
      </c>
      <c r="C415" s="46" t="s">
        <v>1712</v>
      </c>
      <c r="D415" s="55">
        <v>45257</v>
      </c>
      <c r="E415" s="5" t="s">
        <v>1759</v>
      </c>
      <c r="F415" s="6"/>
      <c r="G415" s="7">
        <v>4.5781999999999998</v>
      </c>
      <c r="H415" s="2">
        <v>130000</v>
      </c>
      <c r="I415" s="61">
        <f t="shared" si="6"/>
        <v>595166</v>
      </c>
      <c r="J415" s="8" t="s">
        <v>69</v>
      </c>
      <c r="K415" s="9"/>
      <c r="L415" s="10">
        <v>26000</v>
      </c>
      <c r="M415" s="11">
        <v>119033.2</v>
      </c>
      <c r="N415" s="6"/>
      <c r="O415" s="12"/>
      <c r="P415" s="6">
        <v>11</v>
      </c>
      <c r="Q415" s="6" t="s">
        <v>452</v>
      </c>
      <c r="R415" s="53" t="s">
        <v>1736</v>
      </c>
    </row>
    <row r="416" spans="1:18" x14ac:dyDescent="0.25">
      <c r="A416" s="2"/>
      <c r="B416" s="3" t="s">
        <v>774</v>
      </c>
      <c r="C416" s="46" t="s">
        <v>1712</v>
      </c>
      <c r="D416" s="55">
        <v>45257</v>
      </c>
      <c r="E416" s="5" t="s">
        <v>1759</v>
      </c>
      <c r="F416" s="6"/>
      <c r="G416" s="7">
        <v>4.5781999999999998</v>
      </c>
      <c r="H416" s="2">
        <v>112000</v>
      </c>
      <c r="I416" s="61">
        <f t="shared" si="6"/>
        <v>512758.39999999997</v>
      </c>
      <c r="J416" s="8" t="s">
        <v>69</v>
      </c>
      <c r="K416" s="9"/>
      <c r="L416" s="10">
        <v>60000</v>
      </c>
      <c r="M416" s="11">
        <v>274692</v>
      </c>
      <c r="N416" s="6"/>
      <c r="O416" s="12"/>
      <c r="P416" s="6">
        <v>11</v>
      </c>
      <c r="Q416" s="6" t="s">
        <v>452</v>
      </c>
      <c r="R416" s="53" t="s">
        <v>1733</v>
      </c>
    </row>
    <row r="417" spans="1:18" x14ac:dyDescent="0.25">
      <c r="A417" s="2"/>
      <c r="B417" s="3" t="s">
        <v>775</v>
      </c>
      <c r="C417" s="46" t="s">
        <v>1711</v>
      </c>
      <c r="D417" s="55">
        <v>45257</v>
      </c>
      <c r="E417" s="5" t="s">
        <v>776</v>
      </c>
      <c r="F417" s="6"/>
      <c r="G417" s="7">
        <v>4.5781999999999998</v>
      </c>
      <c r="H417" s="2">
        <v>0</v>
      </c>
      <c r="I417" s="61" t="str">
        <f t="shared" si="6"/>
        <v/>
      </c>
      <c r="J417" s="8" t="s">
        <v>64</v>
      </c>
      <c r="K417" s="9"/>
      <c r="L417" s="10">
        <v>30000</v>
      </c>
      <c r="M417" s="11">
        <v>30000</v>
      </c>
      <c r="N417" s="6"/>
      <c r="O417" s="12"/>
      <c r="P417" s="6">
        <v>11</v>
      </c>
      <c r="Q417" s="6" t="s">
        <v>452</v>
      </c>
      <c r="R417" s="53" t="s">
        <v>1733</v>
      </c>
    </row>
    <row r="418" spans="1:18" x14ac:dyDescent="0.25">
      <c r="A418" s="2"/>
      <c r="B418" s="3" t="s">
        <v>777</v>
      </c>
      <c r="C418" s="46" t="s">
        <v>234</v>
      </c>
      <c r="D418" s="55">
        <v>45257</v>
      </c>
      <c r="E418" s="5" t="s">
        <v>778</v>
      </c>
      <c r="F418" s="6"/>
      <c r="G418" s="7">
        <v>4.5781999999999998</v>
      </c>
      <c r="H418" s="2">
        <v>7501</v>
      </c>
      <c r="I418" s="61">
        <f t="shared" si="6"/>
        <v>34341.078199999996</v>
      </c>
      <c r="J418" s="8" t="s">
        <v>234</v>
      </c>
      <c r="K418" s="9"/>
      <c r="L418" s="10"/>
      <c r="M418" s="11">
        <v>0</v>
      </c>
      <c r="N418" s="6"/>
      <c r="O418" s="37">
        <v>43738</v>
      </c>
      <c r="P418" s="6">
        <v>11</v>
      </c>
      <c r="Q418" s="6" t="s">
        <v>452</v>
      </c>
      <c r="R418" s="53" t="s">
        <v>1733</v>
      </c>
    </row>
    <row r="419" spans="1:18" x14ac:dyDescent="0.25">
      <c r="A419" s="2"/>
      <c r="B419" s="3" t="s">
        <v>779</v>
      </c>
      <c r="C419" s="46" t="s">
        <v>234</v>
      </c>
      <c r="D419" s="55">
        <v>45257</v>
      </c>
      <c r="E419" s="5" t="s">
        <v>780</v>
      </c>
      <c r="F419" s="6"/>
      <c r="G419" s="7">
        <v>4.5781999999999998</v>
      </c>
      <c r="H419" s="2">
        <v>50000</v>
      </c>
      <c r="I419" s="61">
        <f t="shared" si="6"/>
        <v>228910</v>
      </c>
      <c r="J419" s="8" t="s">
        <v>234</v>
      </c>
      <c r="K419" s="9"/>
      <c r="L419" s="10"/>
      <c r="M419" s="11">
        <v>0</v>
      </c>
      <c r="N419" s="6"/>
      <c r="O419" s="37">
        <v>44025</v>
      </c>
      <c r="P419" s="6">
        <v>11</v>
      </c>
      <c r="Q419" s="6" t="s">
        <v>452</v>
      </c>
      <c r="R419" s="53" t="s">
        <v>1733</v>
      </c>
    </row>
    <row r="420" spans="1:18" x14ac:dyDescent="0.25">
      <c r="A420" s="2"/>
      <c r="B420" s="3" t="s">
        <v>781</v>
      </c>
      <c r="C420" s="46" t="s">
        <v>1711</v>
      </c>
      <c r="D420" s="55">
        <v>45257</v>
      </c>
      <c r="E420" s="5" t="s">
        <v>1763</v>
      </c>
      <c r="F420" s="6"/>
      <c r="G420" s="7">
        <v>4.5781999999999998</v>
      </c>
      <c r="H420" s="2">
        <v>7501</v>
      </c>
      <c r="I420" s="61">
        <f t="shared" si="6"/>
        <v>34341.078199999996</v>
      </c>
      <c r="J420" s="8" t="s">
        <v>64</v>
      </c>
      <c r="K420" s="9"/>
      <c r="L420" s="10">
        <v>7501</v>
      </c>
      <c r="M420" s="11">
        <v>34341.078200000004</v>
      </c>
      <c r="N420" s="6"/>
      <c r="O420" s="12"/>
      <c r="P420" s="6">
        <v>11</v>
      </c>
      <c r="Q420" s="6" t="s">
        <v>452</v>
      </c>
      <c r="R420" s="53" t="s">
        <v>1733</v>
      </c>
    </row>
    <row r="421" spans="1:18" x14ac:dyDescent="0.25">
      <c r="A421" s="2"/>
      <c r="B421" s="3" t="s">
        <v>782</v>
      </c>
      <c r="C421" s="46" t="s">
        <v>234</v>
      </c>
      <c r="D421" s="55">
        <v>45257</v>
      </c>
      <c r="E421" s="5" t="s">
        <v>783</v>
      </c>
      <c r="F421" s="6"/>
      <c r="G421" s="7">
        <v>4.5781999999999998</v>
      </c>
      <c r="H421" s="2">
        <v>10000</v>
      </c>
      <c r="I421" s="61">
        <f t="shared" si="6"/>
        <v>45782</v>
      </c>
      <c r="J421" s="8" t="s">
        <v>234</v>
      </c>
      <c r="K421" s="9"/>
      <c r="L421" s="10"/>
      <c r="M421" s="11">
        <v>0</v>
      </c>
      <c r="N421" s="6"/>
      <c r="O421" s="12"/>
      <c r="P421" s="6">
        <v>11</v>
      </c>
      <c r="Q421" s="6" t="s">
        <v>452</v>
      </c>
      <c r="R421" s="53" t="s">
        <v>1733</v>
      </c>
    </row>
    <row r="422" spans="1:18" x14ac:dyDescent="0.25">
      <c r="A422" s="2"/>
      <c r="B422" s="3" t="s">
        <v>784</v>
      </c>
      <c r="C422" s="46" t="s">
        <v>234</v>
      </c>
      <c r="D422" s="55">
        <v>45257</v>
      </c>
      <c r="E422" s="5" t="s">
        <v>785</v>
      </c>
      <c r="F422" s="6"/>
      <c r="G422" s="7">
        <v>4.5781999999999998</v>
      </c>
      <c r="H422" s="2">
        <v>50000</v>
      </c>
      <c r="I422" s="61">
        <f t="shared" si="6"/>
        <v>228910</v>
      </c>
      <c r="J422" s="8" t="s">
        <v>234</v>
      </c>
      <c r="K422" s="9"/>
      <c r="L422" s="10"/>
      <c r="M422" s="11">
        <v>0</v>
      </c>
      <c r="N422" s="6"/>
      <c r="O422" s="37">
        <v>44100</v>
      </c>
      <c r="P422" s="6">
        <v>11</v>
      </c>
      <c r="Q422" s="6" t="s">
        <v>452</v>
      </c>
      <c r="R422" s="53" t="s">
        <v>1733</v>
      </c>
    </row>
    <row r="423" spans="1:18" x14ac:dyDescent="0.25">
      <c r="A423" s="2"/>
      <c r="B423" s="3" t="s">
        <v>786</v>
      </c>
      <c r="C423" s="46" t="s">
        <v>1712</v>
      </c>
      <c r="D423" s="55">
        <v>45257</v>
      </c>
      <c r="E423" s="5" t="s">
        <v>140</v>
      </c>
      <c r="F423" s="6"/>
      <c r="G423" s="7">
        <v>4.5781999999999998</v>
      </c>
      <c r="H423" s="2">
        <v>42000</v>
      </c>
      <c r="I423" s="61">
        <f t="shared" si="6"/>
        <v>192284.4</v>
      </c>
      <c r="J423" s="8" t="s">
        <v>69</v>
      </c>
      <c r="K423" s="9"/>
      <c r="L423" s="10">
        <v>15000</v>
      </c>
      <c r="M423" s="11">
        <v>68673</v>
      </c>
      <c r="N423" s="6"/>
      <c r="O423" s="12"/>
      <c r="P423" s="6">
        <v>11</v>
      </c>
      <c r="Q423" s="6" t="s">
        <v>452</v>
      </c>
      <c r="R423" s="53" t="s">
        <v>1733</v>
      </c>
    </row>
    <row r="424" spans="1:18" x14ac:dyDescent="0.25">
      <c r="A424" s="2"/>
      <c r="B424" s="3" t="s">
        <v>787</v>
      </c>
      <c r="C424" s="46" t="s">
        <v>234</v>
      </c>
      <c r="D424" s="55">
        <v>45257</v>
      </c>
      <c r="E424" s="5" t="s">
        <v>788</v>
      </c>
      <c r="F424" s="6"/>
      <c r="G424" s="7">
        <v>4.5781999999999998</v>
      </c>
      <c r="H424" s="2">
        <v>7501</v>
      </c>
      <c r="I424" s="61">
        <f t="shared" si="6"/>
        <v>34341.078199999996</v>
      </c>
      <c r="J424" s="8" t="s">
        <v>234</v>
      </c>
      <c r="K424" s="9"/>
      <c r="L424" s="10"/>
      <c r="M424" s="11">
        <v>0</v>
      </c>
      <c r="N424" s="6"/>
      <c r="O424" s="12"/>
      <c r="P424" s="6">
        <v>11</v>
      </c>
      <c r="Q424" s="6" t="s">
        <v>452</v>
      </c>
      <c r="R424" s="53" t="s">
        <v>1733</v>
      </c>
    </row>
    <row r="425" spans="1:18" x14ac:dyDescent="0.25">
      <c r="A425" s="2"/>
      <c r="B425" s="3" t="s">
        <v>789</v>
      </c>
      <c r="C425" s="46" t="s">
        <v>234</v>
      </c>
      <c r="D425" s="55">
        <v>45257</v>
      </c>
      <c r="E425" s="5" t="s">
        <v>1776</v>
      </c>
      <c r="F425" s="6"/>
      <c r="G425" s="7">
        <v>4.5781999999999998</v>
      </c>
      <c r="H425" s="2">
        <v>46000</v>
      </c>
      <c r="I425" s="61">
        <f t="shared" si="6"/>
        <v>210597.19999999998</v>
      </c>
      <c r="J425" s="8" t="s">
        <v>234</v>
      </c>
      <c r="K425" s="9"/>
      <c r="L425" s="10"/>
      <c r="M425" s="11">
        <v>0</v>
      </c>
      <c r="N425" s="6"/>
      <c r="O425" s="37">
        <v>44003</v>
      </c>
      <c r="P425" s="6">
        <v>11</v>
      </c>
      <c r="Q425" s="6" t="s">
        <v>452</v>
      </c>
      <c r="R425" s="53" t="s">
        <v>1733</v>
      </c>
    </row>
    <row r="426" spans="1:18" x14ac:dyDescent="0.25">
      <c r="A426" s="2"/>
      <c r="B426" s="3" t="s">
        <v>790</v>
      </c>
      <c r="C426" s="46" t="s">
        <v>1711</v>
      </c>
      <c r="D426" s="55">
        <v>45257</v>
      </c>
      <c r="E426" s="5" t="s">
        <v>791</v>
      </c>
      <c r="F426" s="6"/>
      <c r="G426" s="7">
        <v>4.5781999999999998</v>
      </c>
      <c r="H426" s="2">
        <v>10000</v>
      </c>
      <c r="I426" s="61">
        <f t="shared" si="6"/>
        <v>45782</v>
      </c>
      <c r="J426" s="8" t="s">
        <v>64</v>
      </c>
      <c r="K426" s="9"/>
      <c r="L426" s="10">
        <v>10000</v>
      </c>
      <c r="M426" s="11">
        <v>45782</v>
      </c>
      <c r="N426" s="6"/>
      <c r="O426" s="12"/>
      <c r="P426" s="6">
        <v>11</v>
      </c>
      <c r="Q426" s="6" t="s">
        <v>452</v>
      </c>
      <c r="R426" s="53" t="s">
        <v>1733</v>
      </c>
    </row>
    <row r="427" spans="1:18" x14ac:dyDescent="0.25">
      <c r="A427" s="2"/>
      <c r="B427" s="3" t="s">
        <v>792</v>
      </c>
      <c r="C427" s="46" t="s">
        <v>1711</v>
      </c>
      <c r="D427" s="55">
        <v>45257</v>
      </c>
      <c r="E427" s="5" t="s">
        <v>793</v>
      </c>
      <c r="F427" s="6"/>
      <c r="G427" s="7">
        <v>4.5781999999999998</v>
      </c>
      <c r="H427" s="2">
        <v>360000</v>
      </c>
      <c r="I427" s="61">
        <f t="shared" si="6"/>
        <v>1648152</v>
      </c>
      <c r="J427" s="8" t="s">
        <v>64</v>
      </c>
      <c r="K427" s="9"/>
      <c r="L427" s="10">
        <v>360000</v>
      </c>
      <c r="M427" s="11">
        <v>1648152</v>
      </c>
      <c r="N427" s="6"/>
      <c r="O427" s="12"/>
      <c r="P427" s="6">
        <v>11</v>
      </c>
      <c r="Q427" s="6" t="s">
        <v>452</v>
      </c>
      <c r="R427" s="53" t="s">
        <v>1733</v>
      </c>
    </row>
    <row r="428" spans="1:18" x14ac:dyDescent="0.25">
      <c r="A428" s="2"/>
      <c r="B428" s="3" t="s">
        <v>794</v>
      </c>
      <c r="C428" s="46" t="s">
        <v>234</v>
      </c>
      <c r="D428" s="55">
        <v>45257</v>
      </c>
      <c r="E428" s="5" t="s">
        <v>1777</v>
      </c>
      <c r="F428" s="6"/>
      <c r="G428" s="7">
        <v>4.5781999999999998</v>
      </c>
      <c r="H428" s="2">
        <v>7501</v>
      </c>
      <c r="I428" s="61">
        <f t="shared" si="6"/>
        <v>34341.078199999996</v>
      </c>
      <c r="J428" s="8" t="s">
        <v>234</v>
      </c>
      <c r="K428" s="9"/>
      <c r="L428" s="10"/>
      <c r="M428" s="11">
        <v>0</v>
      </c>
      <c r="N428" s="6"/>
      <c r="O428" s="37">
        <v>43542</v>
      </c>
      <c r="P428" s="6">
        <v>11</v>
      </c>
      <c r="Q428" s="6" t="s">
        <v>452</v>
      </c>
      <c r="R428" s="53" t="s">
        <v>1733</v>
      </c>
    </row>
    <row r="429" spans="1:18" x14ac:dyDescent="0.25">
      <c r="A429" s="2"/>
      <c r="B429" s="3" t="s">
        <v>795</v>
      </c>
      <c r="C429" s="46" t="s">
        <v>234</v>
      </c>
      <c r="D429" s="55">
        <v>45257</v>
      </c>
      <c r="E429" s="5" t="s">
        <v>1778</v>
      </c>
      <c r="F429" s="6"/>
      <c r="G429" s="7">
        <v>4.5781999999999998</v>
      </c>
      <c r="H429" s="2">
        <v>7501</v>
      </c>
      <c r="I429" s="61">
        <f t="shared" si="6"/>
        <v>34341.078199999996</v>
      </c>
      <c r="J429" s="8" t="s">
        <v>234</v>
      </c>
      <c r="K429" s="9"/>
      <c r="L429" s="10"/>
      <c r="M429" s="11">
        <v>0</v>
      </c>
      <c r="N429" s="6"/>
      <c r="O429" s="37">
        <v>45204</v>
      </c>
      <c r="P429" s="6">
        <v>11</v>
      </c>
      <c r="Q429" s="6" t="s">
        <v>452</v>
      </c>
      <c r="R429" s="53" t="s">
        <v>1733</v>
      </c>
    </row>
    <row r="430" spans="1:18" x14ac:dyDescent="0.25">
      <c r="A430" s="2"/>
      <c r="B430" s="3" t="s">
        <v>796</v>
      </c>
      <c r="C430" s="46" t="s">
        <v>1711</v>
      </c>
      <c r="D430" s="55">
        <v>45257</v>
      </c>
      <c r="E430" s="5" t="s">
        <v>1779</v>
      </c>
      <c r="F430" s="6"/>
      <c r="G430" s="7">
        <v>4.5781999999999998</v>
      </c>
      <c r="H430" s="2">
        <v>50001</v>
      </c>
      <c r="I430" s="61">
        <f t="shared" si="6"/>
        <v>228914.57819999999</v>
      </c>
      <c r="J430" s="8" t="s">
        <v>64</v>
      </c>
      <c r="K430" s="9"/>
      <c r="L430" s="10">
        <v>228914.58</v>
      </c>
      <c r="M430" s="11">
        <v>1048016.730156</v>
      </c>
      <c r="N430" s="6"/>
      <c r="O430" s="12"/>
      <c r="P430" s="6">
        <v>11</v>
      </c>
      <c r="Q430" s="6" t="s">
        <v>452</v>
      </c>
      <c r="R430" s="53" t="s">
        <v>1733</v>
      </c>
    </row>
    <row r="431" spans="1:18" x14ac:dyDescent="0.25">
      <c r="A431" s="2"/>
      <c r="B431" s="3" t="s">
        <v>797</v>
      </c>
      <c r="C431" s="46" t="s">
        <v>1711</v>
      </c>
      <c r="D431" s="55">
        <v>45257</v>
      </c>
      <c r="E431" s="5" t="s">
        <v>798</v>
      </c>
      <c r="F431" s="6"/>
      <c r="G431" s="7">
        <v>4.5781999999999998</v>
      </c>
      <c r="H431" s="2">
        <v>20000</v>
      </c>
      <c r="I431" s="61">
        <f t="shared" si="6"/>
        <v>91564</v>
      </c>
      <c r="J431" s="8" t="s">
        <v>64</v>
      </c>
      <c r="K431" s="9"/>
      <c r="L431" s="10">
        <v>91564</v>
      </c>
      <c r="M431" s="11">
        <v>419198.30479999998</v>
      </c>
      <c r="N431" s="6"/>
      <c r="O431" s="12"/>
      <c r="P431" s="6">
        <v>11</v>
      </c>
      <c r="Q431" s="6" t="s">
        <v>452</v>
      </c>
      <c r="R431" s="53" t="s">
        <v>1733</v>
      </c>
    </row>
    <row r="432" spans="1:18" x14ac:dyDescent="0.25">
      <c r="A432" s="2"/>
      <c r="B432" s="3" t="s">
        <v>799</v>
      </c>
      <c r="C432" s="46" t="s">
        <v>1711</v>
      </c>
      <c r="D432" s="55">
        <v>45257</v>
      </c>
      <c r="E432" s="5" t="s">
        <v>1780</v>
      </c>
      <c r="F432" s="6"/>
      <c r="G432" s="7">
        <v>4.5781999999999998</v>
      </c>
      <c r="H432" s="2">
        <v>7500</v>
      </c>
      <c r="I432" s="61">
        <f t="shared" si="6"/>
        <v>34336.5</v>
      </c>
      <c r="J432" s="8" t="s">
        <v>64</v>
      </c>
      <c r="K432" s="9"/>
      <c r="L432" s="10">
        <v>34336.5</v>
      </c>
      <c r="M432" s="11">
        <v>157199.36429999999</v>
      </c>
      <c r="N432" s="6"/>
      <c r="O432" s="12"/>
      <c r="P432" s="6">
        <v>11</v>
      </c>
      <c r="Q432" s="6" t="s">
        <v>452</v>
      </c>
      <c r="R432" s="53" t="s">
        <v>1733</v>
      </c>
    </row>
    <row r="433" spans="1:18" x14ac:dyDescent="0.25">
      <c r="A433" s="2"/>
      <c r="B433" s="3" t="s">
        <v>800</v>
      </c>
      <c r="C433" s="46" t="s">
        <v>1711</v>
      </c>
      <c r="D433" s="55">
        <v>45257</v>
      </c>
      <c r="E433" s="5" t="s">
        <v>475</v>
      </c>
      <c r="F433" s="14"/>
      <c r="G433" s="7">
        <v>4.5781999999999998</v>
      </c>
      <c r="H433" s="2">
        <v>50000</v>
      </c>
      <c r="I433" s="61">
        <f t="shared" si="6"/>
        <v>228910</v>
      </c>
      <c r="J433" s="8" t="s">
        <v>64</v>
      </c>
      <c r="K433" s="9"/>
      <c r="L433" s="10">
        <v>50000</v>
      </c>
      <c r="M433" s="11">
        <v>228910</v>
      </c>
      <c r="N433" s="6"/>
      <c r="O433" s="12"/>
      <c r="P433" s="6">
        <v>11</v>
      </c>
      <c r="Q433" s="6" t="s">
        <v>452</v>
      </c>
      <c r="R433" s="53" t="s">
        <v>1733</v>
      </c>
    </row>
    <row r="434" spans="1:18" x14ac:dyDescent="0.25">
      <c r="A434" s="2"/>
      <c r="B434" s="3" t="s">
        <v>801</v>
      </c>
      <c r="C434" s="46" t="s">
        <v>234</v>
      </c>
      <c r="D434" s="55">
        <v>45257</v>
      </c>
      <c r="E434" s="5" t="s">
        <v>475</v>
      </c>
      <c r="F434" s="14"/>
      <c r="G434" s="7">
        <v>4.5781999999999998</v>
      </c>
      <c r="H434" s="2">
        <v>5000</v>
      </c>
      <c r="I434" s="61">
        <f t="shared" si="6"/>
        <v>22891</v>
      </c>
      <c r="J434" s="8" t="s">
        <v>234</v>
      </c>
      <c r="K434" s="9"/>
      <c r="L434" s="10"/>
      <c r="M434" s="11">
        <v>0</v>
      </c>
      <c r="N434" s="6"/>
      <c r="O434" s="12"/>
      <c r="P434" s="6">
        <v>11</v>
      </c>
      <c r="Q434" s="6" t="s">
        <v>452</v>
      </c>
      <c r="R434" s="53" t="s">
        <v>1733</v>
      </c>
    </row>
    <row r="435" spans="1:18" x14ac:dyDescent="0.25">
      <c r="A435" s="2"/>
      <c r="B435" s="3" t="s">
        <v>802</v>
      </c>
      <c r="C435" s="46" t="s">
        <v>1711</v>
      </c>
      <c r="D435" s="55">
        <v>45257</v>
      </c>
      <c r="E435" s="5" t="s">
        <v>577</v>
      </c>
      <c r="F435" s="6"/>
      <c r="G435" s="7">
        <v>4.5781999999999998</v>
      </c>
      <c r="H435" s="2">
        <v>0</v>
      </c>
      <c r="I435" s="61" t="str">
        <f t="shared" si="6"/>
        <v/>
      </c>
      <c r="J435" s="8" t="s">
        <v>64</v>
      </c>
      <c r="K435" s="9"/>
      <c r="L435" s="10">
        <v>110500</v>
      </c>
      <c r="M435" s="11">
        <v>110500</v>
      </c>
      <c r="N435" s="6"/>
      <c r="O435" s="12"/>
      <c r="P435" s="6">
        <v>11</v>
      </c>
      <c r="Q435" s="6" t="s">
        <v>452</v>
      </c>
      <c r="R435" s="53" t="s">
        <v>1733</v>
      </c>
    </row>
    <row r="436" spans="1:18" x14ac:dyDescent="0.25">
      <c r="A436" s="2"/>
      <c r="B436" s="3" t="s">
        <v>803</v>
      </c>
      <c r="C436" s="46" t="s">
        <v>234</v>
      </c>
      <c r="D436" s="55">
        <v>45257</v>
      </c>
      <c r="E436" s="5" t="s">
        <v>804</v>
      </c>
      <c r="F436" s="6"/>
      <c r="G436" s="7">
        <v>4.5781999999999998</v>
      </c>
      <c r="H436" s="2">
        <v>30000</v>
      </c>
      <c r="I436" s="61">
        <f t="shared" si="6"/>
        <v>137346</v>
      </c>
      <c r="J436" s="8" t="s">
        <v>234</v>
      </c>
      <c r="K436" s="9"/>
      <c r="L436" s="10"/>
      <c r="M436" s="11">
        <v>0</v>
      </c>
      <c r="N436" s="6"/>
      <c r="O436" s="37">
        <v>44151</v>
      </c>
      <c r="P436" s="6">
        <v>11</v>
      </c>
      <c r="Q436" s="6" t="s">
        <v>452</v>
      </c>
      <c r="R436" s="53" t="s">
        <v>1733</v>
      </c>
    </row>
    <row r="437" spans="1:18" x14ac:dyDescent="0.25">
      <c r="A437" s="2"/>
      <c r="B437" s="3" t="s">
        <v>805</v>
      </c>
      <c r="C437" s="46" t="s">
        <v>234</v>
      </c>
      <c r="D437" s="55">
        <v>45257</v>
      </c>
      <c r="E437" s="5" t="s">
        <v>806</v>
      </c>
      <c r="F437" s="6"/>
      <c r="G437" s="7">
        <v>4.5781999999999998</v>
      </c>
      <c r="H437" s="2">
        <v>7500</v>
      </c>
      <c r="I437" s="61">
        <f t="shared" si="6"/>
        <v>34336.5</v>
      </c>
      <c r="J437" s="8" t="s">
        <v>234</v>
      </c>
      <c r="K437" s="9"/>
      <c r="L437" s="10"/>
      <c r="M437" s="11">
        <v>0</v>
      </c>
      <c r="N437" s="6"/>
      <c r="O437" s="12"/>
      <c r="P437" s="6">
        <v>11</v>
      </c>
      <c r="Q437" s="6" t="s">
        <v>452</v>
      </c>
      <c r="R437" s="53" t="s">
        <v>1733</v>
      </c>
    </row>
    <row r="438" spans="1:18" x14ac:dyDescent="0.25">
      <c r="A438" s="2"/>
      <c r="B438" s="3" t="s">
        <v>807</v>
      </c>
      <c r="C438" s="46" t="s">
        <v>234</v>
      </c>
      <c r="D438" s="55">
        <v>45257</v>
      </c>
      <c r="E438" s="5" t="s">
        <v>808</v>
      </c>
      <c r="F438" s="6"/>
      <c r="G438" s="7">
        <v>4.5781999999999998</v>
      </c>
      <c r="H438" s="2">
        <v>50001</v>
      </c>
      <c r="I438" s="61">
        <f t="shared" si="6"/>
        <v>228914.57819999999</v>
      </c>
      <c r="J438" s="8" t="s">
        <v>234</v>
      </c>
      <c r="K438" s="9"/>
      <c r="L438" s="10"/>
      <c r="M438" s="11">
        <v>0</v>
      </c>
      <c r="N438" s="6"/>
      <c r="O438" s="37">
        <v>45141</v>
      </c>
      <c r="P438" s="6">
        <v>11</v>
      </c>
      <c r="Q438" s="6" t="s">
        <v>452</v>
      </c>
      <c r="R438" s="53" t="s">
        <v>1733</v>
      </c>
    </row>
    <row r="439" spans="1:18" x14ac:dyDescent="0.25">
      <c r="A439" s="2"/>
      <c r="B439" s="3" t="s">
        <v>809</v>
      </c>
      <c r="C439" s="46" t="s">
        <v>234</v>
      </c>
      <c r="D439" s="55">
        <v>45257</v>
      </c>
      <c r="E439" s="5" t="s">
        <v>810</v>
      </c>
      <c r="F439" s="6"/>
      <c r="G439" s="7">
        <v>4.5781999999999998</v>
      </c>
      <c r="H439" s="2">
        <v>20000</v>
      </c>
      <c r="I439" s="61">
        <f t="shared" si="6"/>
        <v>91564</v>
      </c>
      <c r="J439" s="8" t="s">
        <v>234</v>
      </c>
      <c r="K439" s="9"/>
      <c r="L439" s="10"/>
      <c r="M439" s="11">
        <v>0</v>
      </c>
      <c r="N439" s="6"/>
      <c r="O439" s="37">
        <v>43797</v>
      </c>
      <c r="P439" s="6">
        <v>11</v>
      </c>
      <c r="Q439" s="6" t="s">
        <v>452</v>
      </c>
      <c r="R439" s="53" t="s">
        <v>1733</v>
      </c>
    </row>
    <row r="440" spans="1:18" x14ac:dyDescent="0.25">
      <c r="A440" s="2"/>
      <c r="B440" s="3" t="s">
        <v>811</v>
      </c>
      <c r="C440" s="46" t="s">
        <v>234</v>
      </c>
      <c r="D440" s="55">
        <v>45257</v>
      </c>
      <c r="E440" s="5" t="s">
        <v>812</v>
      </c>
      <c r="F440" s="6"/>
      <c r="G440" s="7">
        <v>4.5781999999999998</v>
      </c>
      <c r="H440" s="2">
        <v>50001</v>
      </c>
      <c r="I440" s="61">
        <f t="shared" si="6"/>
        <v>228914.57819999999</v>
      </c>
      <c r="J440" s="8" t="s">
        <v>234</v>
      </c>
      <c r="K440" s="9"/>
      <c r="L440" s="10"/>
      <c r="M440" s="11">
        <v>0</v>
      </c>
      <c r="N440" s="6"/>
      <c r="O440" s="37">
        <v>42505</v>
      </c>
      <c r="P440" s="6">
        <v>11</v>
      </c>
      <c r="Q440" s="6" t="s">
        <v>452</v>
      </c>
      <c r="R440" s="53" t="s">
        <v>1733</v>
      </c>
    </row>
    <row r="441" spans="1:18" x14ac:dyDescent="0.25">
      <c r="A441" s="2"/>
      <c r="B441" s="3" t="s">
        <v>813</v>
      </c>
      <c r="C441" s="46" t="s">
        <v>1711</v>
      </c>
      <c r="D441" s="55">
        <v>45257</v>
      </c>
      <c r="E441" s="5" t="s">
        <v>1781</v>
      </c>
      <c r="F441" s="6"/>
      <c r="G441" s="7">
        <v>4.5781999999999998</v>
      </c>
      <c r="H441" s="2">
        <v>10000</v>
      </c>
      <c r="I441" s="61">
        <f t="shared" si="6"/>
        <v>45782</v>
      </c>
      <c r="J441" s="8" t="s">
        <v>64</v>
      </c>
      <c r="K441" s="9"/>
      <c r="L441" s="10">
        <v>45782</v>
      </c>
      <c r="M441" s="11">
        <v>209599.15239999999</v>
      </c>
      <c r="N441" s="6"/>
      <c r="O441" s="12"/>
      <c r="P441" s="6">
        <v>11</v>
      </c>
      <c r="Q441" s="6" t="s">
        <v>452</v>
      </c>
      <c r="R441" s="53" t="s">
        <v>1733</v>
      </c>
    </row>
    <row r="442" spans="1:18" x14ac:dyDescent="0.25">
      <c r="A442" s="2"/>
      <c r="B442" s="3" t="s">
        <v>814</v>
      </c>
      <c r="C442" s="46" t="s">
        <v>234</v>
      </c>
      <c r="D442" s="55">
        <v>45257</v>
      </c>
      <c r="E442" s="5" t="s">
        <v>815</v>
      </c>
      <c r="F442" s="6"/>
      <c r="G442" s="7">
        <v>4.5781999999999998</v>
      </c>
      <c r="H442" s="2">
        <v>500</v>
      </c>
      <c r="I442" s="61">
        <f t="shared" si="6"/>
        <v>2289.1</v>
      </c>
      <c r="J442" s="8" t="s">
        <v>234</v>
      </c>
      <c r="K442" s="9"/>
      <c r="L442" s="10"/>
      <c r="M442" s="11">
        <v>0</v>
      </c>
      <c r="N442" s="6"/>
      <c r="O442" s="37">
        <v>44120</v>
      </c>
      <c r="P442" s="6">
        <v>11</v>
      </c>
      <c r="Q442" s="6" t="s">
        <v>452</v>
      </c>
      <c r="R442" s="53" t="s">
        <v>1733</v>
      </c>
    </row>
    <row r="443" spans="1:18" x14ac:dyDescent="0.25">
      <c r="A443" s="2"/>
      <c r="B443" s="3" t="s">
        <v>816</v>
      </c>
      <c r="C443" s="46" t="s">
        <v>1712</v>
      </c>
      <c r="D443" s="55">
        <v>45257</v>
      </c>
      <c r="E443" s="5" t="s">
        <v>817</v>
      </c>
      <c r="F443" s="6"/>
      <c r="G443" s="7">
        <v>4.5781999999999998</v>
      </c>
      <c r="H443" s="2">
        <v>60000</v>
      </c>
      <c r="I443" s="61">
        <f t="shared" si="6"/>
        <v>274692</v>
      </c>
      <c r="J443" s="8" t="s">
        <v>69</v>
      </c>
      <c r="K443" s="9"/>
      <c r="L443" s="10">
        <v>68673</v>
      </c>
      <c r="M443" s="11">
        <v>314398.72859999997</v>
      </c>
      <c r="N443" s="6"/>
      <c r="O443" s="12"/>
      <c r="P443" s="6">
        <v>11</v>
      </c>
      <c r="Q443" s="6" t="s">
        <v>452</v>
      </c>
      <c r="R443" s="53" t="s">
        <v>1733</v>
      </c>
    </row>
    <row r="444" spans="1:18" x14ac:dyDescent="0.25">
      <c r="A444" s="2"/>
      <c r="B444" s="3" t="s">
        <v>818</v>
      </c>
      <c r="C444" s="46" t="s">
        <v>1711</v>
      </c>
      <c r="D444" s="55">
        <v>45257</v>
      </c>
      <c r="E444" s="5" t="s">
        <v>1782</v>
      </c>
      <c r="F444" s="6"/>
      <c r="G444" s="7">
        <v>4.5781999999999998</v>
      </c>
      <c r="H444" s="2">
        <v>12000</v>
      </c>
      <c r="I444" s="61">
        <f t="shared" si="6"/>
        <v>54938.400000000001</v>
      </c>
      <c r="J444" s="8" t="s">
        <v>64</v>
      </c>
      <c r="K444" s="9"/>
      <c r="L444" s="10">
        <v>12000</v>
      </c>
      <c r="M444" s="11">
        <v>54938.400000000001</v>
      </c>
      <c r="N444" s="6"/>
      <c r="O444" s="12"/>
      <c r="P444" s="6">
        <v>11</v>
      </c>
      <c r="Q444" s="6" t="s">
        <v>452</v>
      </c>
      <c r="R444" s="53" t="s">
        <v>1733</v>
      </c>
    </row>
    <row r="445" spans="1:18" x14ac:dyDescent="0.25">
      <c r="A445" s="2"/>
      <c r="B445" s="3" t="s">
        <v>819</v>
      </c>
      <c r="C445" s="46" t="s">
        <v>234</v>
      </c>
      <c r="D445" s="55">
        <v>45257</v>
      </c>
      <c r="E445" s="5" t="s">
        <v>1782</v>
      </c>
      <c r="F445" s="6"/>
      <c r="G445" s="7">
        <v>4.5781999999999998</v>
      </c>
      <c r="H445" s="2">
        <v>40000</v>
      </c>
      <c r="I445" s="61">
        <f t="shared" si="6"/>
        <v>183128</v>
      </c>
      <c r="J445" s="8" t="s">
        <v>234</v>
      </c>
      <c r="K445" s="9"/>
      <c r="L445" s="10"/>
      <c r="M445" s="11">
        <v>0</v>
      </c>
      <c r="N445" s="6"/>
      <c r="O445" s="37">
        <v>43826</v>
      </c>
      <c r="P445" s="6">
        <v>11</v>
      </c>
      <c r="Q445" s="6" t="s">
        <v>452</v>
      </c>
      <c r="R445" s="53" t="s">
        <v>1733</v>
      </c>
    </row>
    <row r="446" spans="1:18" x14ac:dyDescent="0.25">
      <c r="A446" s="2"/>
      <c r="B446" s="3" t="s">
        <v>820</v>
      </c>
      <c r="C446" s="46" t="s">
        <v>1711</v>
      </c>
      <c r="D446" s="55">
        <v>45257</v>
      </c>
      <c r="E446" s="5" t="s">
        <v>821</v>
      </c>
      <c r="F446" s="6"/>
      <c r="G446" s="7">
        <v>4.5781999999999998</v>
      </c>
      <c r="H446" s="2">
        <v>15000</v>
      </c>
      <c r="I446" s="61">
        <f t="shared" si="6"/>
        <v>68673</v>
      </c>
      <c r="J446" s="8" t="s">
        <v>64</v>
      </c>
      <c r="K446" s="9"/>
      <c r="L446" s="10">
        <v>15000</v>
      </c>
      <c r="M446" s="11">
        <v>68673</v>
      </c>
      <c r="N446" s="6"/>
      <c r="O446" s="12"/>
      <c r="P446" s="6">
        <v>11</v>
      </c>
      <c r="Q446" s="6" t="s">
        <v>452</v>
      </c>
      <c r="R446" s="53" t="s">
        <v>1733</v>
      </c>
    </row>
    <row r="447" spans="1:18" x14ac:dyDescent="0.25">
      <c r="A447" s="2"/>
      <c r="B447" s="3" t="s">
        <v>822</v>
      </c>
      <c r="C447" s="46" t="s">
        <v>234</v>
      </c>
      <c r="D447" s="55">
        <v>45257</v>
      </c>
      <c r="E447" s="5" t="s">
        <v>823</v>
      </c>
      <c r="F447" s="6"/>
      <c r="G447" s="7">
        <v>4.5781999999999998</v>
      </c>
      <c r="H447" s="2">
        <v>7501</v>
      </c>
      <c r="I447" s="61">
        <f t="shared" si="6"/>
        <v>34341.078199999996</v>
      </c>
      <c r="J447" s="8" t="s">
        <v>234</v>
      </c>
      <c r="K447" s="9"/>
      <c r="L447" s="10"/>
      <c r="M447" s="11">
        <v>0</v>
      </c>
      <c r="N447" s="6"/>
      <c r="O447" s="12"/>
      <c r="P447" s="6">
        <v>11</v>
      </c>
      <c r="Q447" s="6" t="s">
        <v>452</v>
      </c>
      <c r="R447" s="53" t="s">
        <v>1733</v>
      </c>
    </row>
    <row r="448" spans="1:18" x14ac:dyDescent="0.25">
      <c r="A448" s="2"/>
      <c r="B448" s="3" t="s">
        <v>824</v>
      </c>
      <c r="C448" s="46" t="s">
        <v>234</v>
      </c>
      <c r="D448" s="55">
        <v>45257</v>
      </c>
      <c r="E448" s="5" t="s">
        <v>1783</v>
      </c>
      <c r="F448" s="6"/>
      <c r="G448" s="7">
        <v>4.5781999999999998</v>
      </c>
      <c r="H448" s="2">
        <v>7501</v>
      </c>
      <c r="I448" s="61">
        <f t="shared" si="6"/>
        <v>34341.078199999996</v>
      </c>
      <c r="J448" s="8" t="s">
        <v>234</v>
      </c>
      <c r="K448" s="9"/>
      <c r="L448" s="10"/>
      <c r="M448" s="11">
        <v>0</v>
      </c>
      <c r="N448" s="6"/>
      <c r="O448" s="12"/>
      <c r="P448" s="6">
        <v>11</v>
      </c>
      <c r="Q448" s="6" t="s">
        <v>452</v>
      </c>
      <c r="R448" s="53" t="s">
        <v>1733</v>
      </c>
    </row>
    <row r="449" spans="1:18" x14ac:dyDescent="0.25">
      <c r="A449" s="2"/>
      <c r="B449" s="3" t="s">
        <v>825</v>
      </c>
      <c r="C449" s="46" t="s">
        <v>1711</v>
      </c>
      <c r="D449" s="55">
        <v>45257</v>
      </c>
      <c r="E449" s="5" t="s">
        <v>826</v>
      </c>
      <c r="F449" s="6"/>
      <c r="G449" s="7">
        <v>4.5781999999999998</v>
      </c>
      <c r="H449" s="2">
        <v>7000</v>
      </c>
      <c r="I449" s="61">
        <f t="shared" si="6"/>
        <v>32047.399999999998</v>
      </c>
      <c r="J449" s="8" t="s">
        <v>64</v>
      </c>
      <c r="K449" s="9"/>
      <c r="L449" s="10">
        <v>7000</v>
      </c>
      <c r="M449" s="11">
        <v>32047.4</v>
      </c>
      <c r="N449" s="6"/>
      <c r="O449" s="12"/>
      <c r="P449" s="6">
        <v>11</v>
      </c>
      <c r="Q449" s="6" t="s">
        <v>452</v>
      </c>
      <c r="R449" s="53" t="s">
        <v>1733</v>
      </c>
    </row>
    <row r="450" spans="1:18" x14ac:dyDescent="0.25">
      <c r="A450" s="2"/>
      <c r="B450" s="3" t="s">
        <v>827</v>
      </c>
      <c r="C450" s="46" t="s">
        <v>1711</v>
      </c>
      <c r="D450" s="55">
        <v>45257</v>
      </c>
      <c r="E450" s="5" t="s">
        <v>828</v>
      </c>
      <c r="F450" s="6"/>
      <c r="G450" s="7">
        <v>4.5781999999999998</v>
      </c>
      <c r="H450" s="2">
        <v>10000</v>
      </c>
      <c r="I450" s="61">
        <f t="shared" si="6"/>
        <v>45782</v>
      </c>
      <c r="J450" s="8" t="s">
        <v>64</v>
      </c>
      <c r="K450" s="9"/>
      <c r="L450" s="10">
        <v>10000</v>
      </c>
      <c r="M450" s="11">
        <v>45782</v>
      </c>
      <c r="N450" s="6"/>
      <c r="O450" s="12"/>
      <c r="P450" s="6">
        <v>11</v>
      </c>
      <c r="Q450" s="6" t="s">
        <v>452</v>
      </c>
      <c r="R450" s="53" t="s">
        <v>1733</v>
      </c>
    </row>
    <row r="451" spans="1:18" x14ac:dyDescent="0.25">
      <c r="A451" s="2"/>
      <c r="B451" s="3" t="s">
        <v>829</v>
      </c>
      <c r="C451" s="46" t="s">
        <v>1712</v>
      </c>
      <c r="D451" s="55">
        <v>45257</v>
      </c>
      <c r="E451" s="5" t="s">
        <v>1784</v>
      </c>
      <c r="F451" s="6"/>
      <c r="G451" s="7">
        <v>4.5781999999999998</v>
      </c>
      <c r="H451" s="2">
        <v>7500</v>
      </c>
      <c r="I451" s="61">
        <f t="shared" ref="I451:I514" si="7">IF(H451&lt;&gt;0, G451*H451, "")</f>
        <v>34336.5</v>
      </c>
      <c r="J451" s="8" t="s">
        <v>69</v>
      </c>
      <c r="K451" s="9"/>
      <c r="L451" s="10">
        <v>3500</v>
      </c>
      <c r="M451" s="11">
        <v>16023.7</v>
      </c>
      <c r="N451" s="6"/>
      <c r="O451" s="12"/>
      <c r="P451" s="6">
        <v>11</v>
      </c>
      <c r="Q451" s="6" t="s">
        <v>452</v>
      </c>
      <c r="R451" s="53" t="s">
        <v>1733</v>
      </c>
    </row>
    <row r="452" spans="1:18" x14ac:dyDescent="0.25">
      <c r="A452" s="2"/>
      <c r="B452" s="3" t="s">
        <v>830</v>
      </c>
      <c r="C452" s="46" t="s">
        <v>1711</v>
      </c>
      <c r="D452" s="55">
        <v>45251</v>
      </c>
      <c r="E452" s="5" t="s">
        <v>616</v>
      </c>
      <c r="F452" s="14"/>
      <c r="G452" s="32">
        <v>4.5781999999999998</v>
      </c>
      <c r="H452" s="13">
        <v>2000</v>
      </c>
      <c r="I452" s="61">
        <f t="shared" si="7"/>
        <v>9156.4</v>
      </c>
      <c r="J452" s="20" t="s">
        <v>64</v>
      </c>
      <c r="K452" s="9"/>
      <c r="L452" s="21">
        <v>9156.4</v>
      </c>
      <c r="M452" s="15">
        <v>41919.830479999997</v>
      </c>
      <c r="N452" s="6"/>
      <c r="O452" s="12"/>
      <c r="P452" s="6">
        <v>11</v>
      </c>
      <c r="Q452" s="6" t="s">
        <v>452</v>
      </c>
      <c r="R452" s="53" t="s">
        <v>1733</v>
      </c>
    </row>
    <row r="453" spans="1:18" x14ac:dyDescent="0.25">
      <c r="A453" s="2"/>
      <c r="B453" s="3" t="s">
        <v>831</v>
      </c>
      <c r="C453" s="46" t="s">
        <v>1712</v>
      </c>
      <c r="D453" s="55">
        <v>45174</v>
      </c>
      <c r="E453" s="5" t="s">
        <v>1785</v>
      </c>
      <c r="F453" s="6"/>
      <c r="G453" s="7">
        <v>4.5781999999999998</v>
      </c>
      <c r="H453" s="2">
        <v>1500</v>
      </c>
      <c r="I453" s="61">
        <f t="shared" si="7"/>
        <v>6867.3</v>
      </c>
      <c r="J453" s="8" t="s">
        <v>69</v>
      </c>
      <c r="K453" s="9"/>
      <c r="L453" s="10">
        <v>3433.65</v>
      </c>
      <c r="M453" s="11">
        <v>15719.93643</v>
      </c>
      <c r="N453" s="6"/>
      <c r="O453" s="12"/>
      <c r="P453" s="6">
        <v>9</v>
      </c>
      <c r="Q453" s="6" t="s">
        <v>490</v>
      </c>
      <c r="R453" s="53" t="s">
        <v>1733</v>
      </c>
    </row>
    <row r="454" spans="1:18" x14ac:dyDescent="0.25">
      <c r="A454" s="2"/>
      <c r="B454" s="3" t="s">
        <v>832</v>
      </c>
      <c r="C454" s="46" t="s">
        <v>234</v>
      </c>
      <c r="D454" s="55">
        <v>45174</v>
      </c>
      <c r="E454" s="5" t="s">
        <v>833</v>
      </c>
      <c r="F454" s="6"/>
      <c r="G454" s="7">
        <v>4.5781999999999998</v>
      </c>
      <c r="H454" s="2">
        <v>16000</v>
      </c>
      <c r="I454" s="61">
        <f t="shared" si="7"/>
        <v>73251.199999999997</v>
      </c>
      <c r="J454" s="8" t="s">
        <v>234</v>
      </c>
      <c r="K454" s="9"/>
      <c r="L454" s="10"/>
      <c r="M454" s="11">
        <v>0</v>
      </c>
      <c r="N454" s="6"/>
      <c r="O454" s="37">
        <v>44493</v>
      </c>
      <c r="P454" s="6">
        <v>9</v>
      </c>
      <c r="Q454" s="6" t="s">
        <v>490</v>
      </c>
      <c r="R454" s="53" t="s">
        <v>1733</v>
      </c>
    </row>
    <row r="455" spans="1:18" x14ac:dyDescent="0.25">
      <c r="A455" s="2"/>
      <c r="B455" s="3" t="s">
        <v>834</v>
      </c>
      <c r="C455" s="46" t="s">
        <v>234</v>
      </c>
      <c r="D455" s="55">
        <v>45174</v>
      </c>
      <c r="E455" s="5" t="s">
        <v>592</v>
      </c>
      <c r="F455" s="14"/>
      <c r="G455" s="32">
        <v>4.5781999999999998</v>
      </c>
      <c r="H455" s="13">
        <v>50000</v>
      </c>
      <c r="I455" s="61">
        <f t="shared" si="7"/>
        <v>228910</v>
      </c>
      <c r="J455" s="20" t="s">
        <v>234</v>
      </c>
      <c r="K455" s="9"/>
      <c r="L455" s="10"/>
      <c r="M455" s="15">
        <v>0</v>
      </c>
      <c r="N455" s="6"/>
      <c r="O455" s="12"/>
      <c r="P455" s="6">
        <v>9</v>
      </c>
      <c r="Q455" s="6" t="s">
        <v>490</v>
      </c>
      <c r="R455" s="53" t="s">
        <v>1733</v>
      </c>
    </row>
    <row r="456" spans="1:18" x14ac:dyDescent="0.25">
      <c r="A456" s="2"/>
      <c r="B456" s="3" t="s">
        <v>835</v>
      </c>
      <c r="C456" s="46" t="s">
        <v>234</v>
      </c>
      <c r="D456" s="55">
        <v>45174</v>
      </c>
      <c r="E456" s="5" t="s">
        <v>836</v>
      </c>
      <c r="F456" s="14"/>
      <c r="G456" s="32">
        <v>4.5781999999999998</v>
      </c>
      <c r="H456" s="13">
        <v>7501</v>
      </c>
      <c r="I456" s="61">
        <f t="shared" si="7"/>
        <v>34341.078199999996</v>
      </c>
      <c r="J456" s="20" t="s">
        <v>234</v>
      </c>
      <c r="K456" s="9"/>
      <c r="L456" s="10"/>
      <c r="M456" s="15">
        <v>0</v>
      </c>
      <c r="N456" s="6"/>
      <c r="O456" s="38">
        <v>44131</v>
      </c>
      <c r="P456" s="6">
        <v>9</v>
      </c>
      <c r="Q456" s="6" t="s">
        <v>490</v>
      </c>
      <c r="R456" s="53" t="s">
        <v>1733</v>
      </c>
    </row>
    <row r="457" spans="1:18" x14ac:dyDescent="0.25">
      <c r="A457" s="2"/>
      <c r="B457" s="3" t="s">
        <v>837</v>
      </c>
      <c r="C457" s="46" t="s">
        <v>234</v>
      </c>
      <c r="D457" s="55">
        <v>45174</v>
      </c>
      <c r="E457" s="5" t="s">
        <v>836</v>
      </c>
      <c r="F457" s="14"/>
      <c r="G457" s="32">
        <v>4.5781999999999998</v>
      </c>
      <c r="H457" s="13">
        <v>7501</v>
      </c>
      <c r="I457" s="61">
        <f t="shared" si="7"/>
        <v>34341.078199999996</v>
      </c>
      <c r="J457" s="20" t="s">
        <v>234</v>
      </c>
      <c r="K457" s="9"/>
      <c r="L457" s="10"/>
      <c r="M457" s="15">
        <v>0</v>
      </c>
      <c r="N457" s="6"/>
      <c r="O457" s="38">
        <v>44131</v>
      </c>
      <c r="P457" s="6">
        <v>9</v>
      </c>
      <c r="Q457" s="6" t="s">
        <v>490</v>
      </c>
      <c r="R457" s="53" t="s">
        <v>1733</v>
      </c>
    </row>
    <row r="458" spans="1:18" x14ac:dyDescent="0.25">
      <c r="A458" s="2"/>
      <c r="B458" s="3" t="s">
        <v>838</v>
      </c>
      <c r="C458" s="46" t="s">
        <v>722</v>
      </c>
      <c r="D458" s="55">
        <v>45174</v>
      </c>
      <c r="E458" s="5" t="s">
        <v>839</v>
      </c>
      <c r="F458" s="14"/>
      <c r="G458" s="32">
        <v>4.5781999999999998</v>
      </c>
      <c r="H458" s="13">
        <v>40000</v>
      </c>
      <c r="I458" s="61">
        <f t="shared" si="7"/>
        <v>183128</v>
      </c>
      <c r="J458" s="20" t="s">
        <v>77</v>
      </c>
      <c r="K458" s="9"/>
      <c r="L458" s="29">
        <v>0</v>
      </c>
      <c r="M458" s="15">
        <v>0</v>
      </c>
      <c r="N458" s="36" t="s">
        <v>840</v>
      </c>
      <c r="O458" s="12"/>
      <c r="P458" s="6">
        <v>9</v>
      </c>
      <c r="Q458" s="6" t="s">
        <v>490</v>
      </c>
      <c r="R458" s="53" t="s">
        <v>1733</v>
      </c>
    </row>
    <row r="459" spans="1:18" x14ac:dyDescent="0.25">
      <c r="A459" s="2"/>
      <c r="B459" s="3" t="s">
        <v>841</v>
      </c>
      <c r="C459" s="46" t="s">
        <v>1712</v>
      </c>
      <c r="D459" s="56">
        <v>45174</v>
      </c>
      <c r="E459" s="5" t="s">
        <v>842</v>
      </c>
      <c r="F459" s="6"/>
      <c r="G459" s="7">
        <v>4.5781999999999998</v>
      </c>
      <c r="H459" s="2">
        <v>7501</v>
      </c>
      <c r="I459" s="61">
        <f t="shared" si="7"/>
        <v>34341.078199999996</v>
      </c>
      <c r="J459" s="8" t="s">
        <v>69</v>
      </c>
      <c r="K459" s="9"/>
      <c r="L459" s="10">
        <v>13734.6</v>
      </c>
      <c r="M459" s="11">
        <v>62879.745719999999</v>
      </c>
      <c r="N459" s="6"/>
      <c r="O459" s="12"/>
      <c r="P459" s="6">
        <v>9</v>
      </c>
      <c r="Q459" s="6" t="s">
        <v>490</v>
      </c>
      <c r="R459" s="53" t="s">
        <v>1733</v>
      </c>
    </row>
    <row r="460" spans="1:18" x14ac:dyDescent="0.25">
      <c r="A460" s="2"/>
      <c r="B460" s="3" t="s">
        <v>843</v>
      </c>
      <c r="C460" s="46" t="s">
        <v>722</v>
      </c>
      <c r="D460" s="55">
        <v>45174</v>
      </c>
      <c r="E460" s="5" t="s">
        <v>1786</v>
      </c>
      <c r="F460" s="14"/>
      <c r="G460" s="32">
        <v>4.5781999999999998</v>
      </c>
      <c r="H460" s="13">
        <v>10000</v>
      </c>
      <c r="I460" s="61">
        <f t="shared" si="7"/>
        <v>45782</v>
      </c>
      <c r="J460" s="20" t="s">
        <v>77</v>
      </c>
      <c r="K460" s="9"/>
      <c r="L460" s="29">
        <v>0</v>
      </c>
      <c r="M460" s="15">
        <v>0</v>
      </c>
      <c r="N460" s="36" t="s">
        <v>722</v>
      </c>
      <c r="O460" s="12"/>
      <c r="P460" s="6">
        <v>9</v>
      </c>
      <c r="Q460" s="6" t="s">
        <v>490</v>
      </c>
      <c r="R460" s="53" t="s">
        <v>1733</v>
      </c>
    </row>
    <row r="461" spans="1:18" x14ac:dyDescent="0.25">
      <c r="A461" s="2"/>
      <c r="B461" s="3" t="s">
        <v>844</v>
      </c>
      <c r="C461" s="46" t="s">
        <v>234</v>
      </c>
      <c r="D461" s="55">
        <v>45174</v>
      </c>
      <c r="E461" s="5" t="s">
        <v>845</v>
      </c>
      <c r="F461" s="6"/>
      <c r="G461" s="7">
        <v>4.5781999999999998</v>
      </c>
      <c r="H461" s="2">
        <v>7501</v>
      </c>
      <c r="I461" s="61">
        <f t="shared" si="7"/>
        <v>34341.078199999996</v>
      </c>
      <c r="J461" s="8" t="s">
        <v>234</v>
      </c>
      <c r="K461" s="9"/>
      <c r="L461" s="10"/>
      <c r="M461" s="11">
        <v>0</v>
      </c>
      <c r="N461" s="6"/>
      <c r="O461" s="37">
        <v>44002</v>
      </c>
      <c r="P461" s="6">
        <v>9</v>
      </c>
      <c r="Q461" s="6" t="s">
        <v>490</v>
      </c>
      <c r="R461" s="53" t="s">
        <v>1733</v>
      </c>
    </row>
    <row r="462" spans="1:18" ht="25.5" x14ac:dyDescent="0.25">
      <c r="A462" s="2"/>
      <c r="B462" s="3" t="s">
        <v>846</v>
      </c>
      <c r="C462" s="46" t="s">
        <v>1712</v>
      </c>
      <c r="D462" s="55">
        <v>45174</v>
      </c>
      <c r="E462" s="5" t="s">
        <v>1787</v>
      </c>
      <c r="F462" s="6"/>
      <c r="G462" s="7">
        <v>4.5781999999999998</v>
      </c>
      <c r="H462" s="2">
        <v>10000</v>
      </c>
      <c r="I462" s="61">
        <f t="shared" si="7"/>
        <v>45782</v>
      </c>
      <c r="J462" s="8" t="s">
        <v>69</v>
      </c>
      <c r="K462" s="9"/>
      <c r="L462" s="10">
        <v>9156.4</v>
      </c>
      <c r="M462" s="11">
        <v>41919.830479999997</v>
      </c>
      <c r="N462" s="6"/>
      <c r="O462" s="12"/>
      <c r="P462" s="6">
        <v>9</v>
      </c>
      <c r="Q462" s="6" t="s">
        <v>490</v>
      </c>
      <c r="R462" s="53" t="s">
        <v>1733</v>
      </c>
    </row>
    <row r="463" spans="1:18" x14ac:dyDescent="0.25">
      <c r="A463" s="2"/>
      <c r="B463" s="3" t="s">
        <v>847</v>
      </c>
      <c r="C463" s="46" t="s">
        <v>1711</v>
      </c>
      <c r="D463" s="55">
        <v>45174</v>
      </c>
      <c r="E463" s="5" t="s">
        <v>848</v>
      </c>
      <c r="F463" s="6"/>
      <c r="G463" s="7">
        <v>4.5781999999999998</v>
      </c>
      <c r="H463" s="2">
        <v>2000</v>
      </c>
      <c r="I463" s="61">
        <f t="shared" si="7"/>
        <v>9156.4</v>
      </c>
      <c r="J463" s="8" t="s">
        <v>64</v>
      </c>
      <c r="K463" s="9"/>
      <c r="L463" s="10">
        <v>9156.4</v>
      </c>
      <c r="M463" s="11">
        <v>41919.830479999997</v>
      </c>
      <c r="N463" s="6"/>
      <c r="O463" s="12"/>
      <c r="P463" s="6">
        <v>9</v>
      </c>
      <c r="Q463" s="6" t="s">
        <v>490</v>
      </c>
      <c r="R463" s="53" t="s">
        <v>1733</v>
      </c>
    </row>
    <row r="464" spans="1:18" x14ac:dyDescent="0.25">
      <c r="A464" s="2"/>
      <c r="B464" s="3" t="s">
        <v>849</v>
      </c>
      <c r="C464" s="46" t="s">
        <v>1711</v>
      </c>
      <c r="D464" s="56">
        <v>45174</v>
      </c>
      <c r="E464" s="5" t="s">
        <v>850</v>
      </c>
      <c r="F464" s="6"/>
      <c r="G464" s="7">
        <v>4.5781999999999998</v>
      </c>
      <c r="H464" s="2">
        <v>7000</v>
      </c>
      <c r="I464" s="61">
        <f t="shared" si="7"/>
        <v>32047.399999999998</v>
      </c>
      <c r="J464" s="8" t="s">
        <v>64</v>
      </c>
      <c r="K464" s="9"/>
      <c r="L464" s="10">
        <v>32047.4</v>
      </c>
      <c r="M464" s="11">
        <v>146719.40667999999</v>
      </c>
      <c r="N464" s="6"/>
      <c r="O464" s="12"/>
      <c r="P464" s="6">
        <v>9</v>
      </c>
      <c r="Q464" s="6" t="s">
        <v>490</v>
      </c>
      <c r="R464" s="53" t="s">
        <v>1733</v>
      </c>
    </row>
    <row r="465" spans="1:18" x14ac:dyDescent="0.25">
      <c r="A465" s="2"/>
      <c r="B465" s="3" t="s">
        <v>851</v>
      </c>
      <c r="C465" s="46" t="s">
        <v>1711</v>
      </c>
      <c r="D465" s="56">
        <v>45174</v>
      </c>
      <c r="E465" s="5" t="s">
        <v>850</v>
      </c>
      <c r="F465" s="6"/>
      <c r="G465" s="7">
        <v>4.5781999999999998</v>
      </c>
      <c r="H465" s="2">
        <v>40000</v>
      </c>
      <c r="I465" s="61">
        <f t="shared" si="7"/>
        <v>183128</v>
      </c>
      <c r="J465" s="8" t="s">
        <v>64</v>
      </c>
      <c r="K465" s="9"/>
      <c r="L465" s="10">
        <v>183128</v>
      </c>
      <c r="M465" s="11">
        <v>838396.60959999997</v>
      </c>
      <c r="N465" s="6"/>
      <c r="O465" s="12"/>
      <c r="P465" s="6">
        <v>9</v>
      </c>
      <c r="Q465" s="6" t="s">
        <v>490</v>
      </c>
      <c r="R465" s="53" t="s">
        <v>1733</v>
      </c>
    </row>
    <row r="466" spans="1:18" x14ac:dyDescent="0.25">
      <c r="A466" s="2"/>
      <c r="B466" s="3" t="s">
        <v>852</v>
      </c>
      <c r="C466" s="46" t="s">
        <v>722</v>
      </c>
      <c r="D466" s="55">
        <v>45174</v>
      </c>
      <c r="E466" s="5" t="s">
        <v>853</v>
      </c>
      <c r="F466" s="14"/>
      <c r="G466" s="32">
        <v>4.5781999999999998</v>
      </c>
      <c r="H466" s="13">
        <v>50001</v>
      </c>
      <c r="I466" s="61">
        <f t="shared" si="7"/>
        <v>228914.57819999999</v>
      </c>
      <c r="J466" s="20" t="s">
        <v>77</v>
      </c>
      <c r="K466" s="9"/>
      <c r="L466" s="29">
        <v>0</v>
      </c>
      <c r="M466" s="15">
        <v>0</v>
      </c>
      <c r="N466" s="36" t="s">
        <v>722</v>
      </c>
      <c r="O466" s="12"/>
      <c r="P466" s="6">
        <v>9</v>
      </c>
      <c r="Q466" s="6" t="s">
        <v>490</v>
      </c>
      <c r="R466" s="53" t="s">
        <v>1733</v>
      </c>
    </row>
    <row r="467" spans="1:18" x14ac:dyDescent="0.25">
      <c r="A467" s="2"/>
      <c r="B467" s="3" t="s">
        <v>854</v>
      </c>
      <c r="C467" s="46" t="s">
        <v>234</v>
      </c>
      <c r="D467" s="55">
        <v>45174</v>
      </c>
      <c r="E467" s="5" t="s">
        <v>855</v>
      </c>
      <c r="F467" s="6"/>
      <c r="G467" s="7">
        <v>4.5781999999999998</v>
      </c>
      <c r="H467" s="2">
        <v>50001</v>
      </c>
      <c r="I467" s="61">
        <f t="shared" si="7"/>
        <v>228914.57819999999</v>
      </c>
      <c r="J467" s="8" t="s">
        <v>234</v>
      </c>
      <c r="K467" s="9"/>
      <c r="L467" s="10"/>
      <c r="M467" s="11">
        <v>0</v>
      </c>
      <c r="N467" s="6"/>
      <c r="O467" s="37">
        <v>44432</v>
      </c>
      <c r="P467" s="6">
        <v>9</v>
      </c>
      <c r="Q467" s="6" t="s">
        <v>490</v>
      </c>
      <c r="R467" s="53" t="s">
        <v>1733</v>
      </c>
    </row>
    <row r="468" spans="1:18" x14ac:dyDescent="0.25">
      <c r="A468" s="2"/>
      <c r="B468" s="3" t="s">
        <v>856</v>
      </c>
      <c r="C468" s="46" t="s">
        <v>722</v>
      </c>
      <c r="D468" s="55">
        <v>45174</v>
      </c>
      <c r="E468" s="5" t="s">
        <v>616</v>
      </c>
      <c r="F468" s="14"/>
      <c r="G468" s="32">
        <v>4.5781999999999998</v>
      </c>
      <c r="H468" s="13">
        <v>4000</v>
      </c>
      <c r="I468" s="61">
        <f t="shared" si="7"/>
        <v>18312.8</v>
      </c>
      <c r="J468" s="20" t="s">
        <v>77</v>
      </c>
      <c r="K468" s="9"/>
      <c r="L468" s="29">
        <v>0</v>
      </c>
      <c r="M468" s="15">
        <v>0</v>
      </c>
      <c r="N468" s="36" t="s">
        <v>840</v>
      </c>
      <c r="O468" s="12"/>
      <c r="P468" s="6">
        <v>9</v>
      </c>
      <c r="Q468" s="6" t="s">
        <v>490</v>
      </c>
      <c r="R468" s="53" t="s">
        <v>1733</v>
      </c>
    </row>
    <row r="469" spans="1:18" x14ac:dyDescent="0.25">
      <c r="A469" s="2"/>
      <c r="B469" s="3" t="s">
        <v>857</v>
      </c>
      <c r="C469" s="46" t="s">
        <v>1712</v>
      </c>
      <c r="D469" s="55">
        <v>45174</v>
      </c>
      <c r="E469" s="5" t="s">
        <v>616</v>
      </c>
      <c r="F469" s="14"/>
      <c r="G469" s="32">
        <v>4.5781999999999998</v>
      </c>
      <c r="H469" s="13">
        <v>2000</v>
      </c>
      <c r="I469" s="61">
        <f t="shared" si="7"/>
        <v>9156.4</v>
      </c>
      <c r="J469" s="20" t="s">
        <v>69</v>
      </c>
      <c r="K469" s="9"/>
      <c r="L469" s="21">
        <v>0</v>
      </c>
      <c r="M469" s="15">
        <v>0</v>
      </c>
      <c r="N469" s="36" t="s">
        <v>858</v>
      </c>
      <c r="O469" s="12"/>
      <c r="P469" s="6">
        <v>9</v>
      </c>
      <c r="Q469" s="6" t="s">
        <v>490</v>
      </c>
      <c r="R469" s="53" t="s">
        <v>1733</v>
      </c>
    </row>
    <row r="470" spans="1:18" x14ac:dyDescent="0.25">
      <c r="A470" s="2"/>
      <c r="B470" s="3" t="s">
        <v>859</v>
      </c>
      <c r="C470" s="46" t="s">
        <v>1712</v>
      </c>
      <c r="D470" s="56">
        <v>45174</v>
      </c>
      <c r="E470" s="5" t="s">
        <v>860</v>
      </c>
      <c r="F470" s="6"/>
      <c r="G470" s="7">
        <v>4.5781999999999998</v>
      </c>
      <c r="H470" s="2">
        <v>3500</v>
      </c>
      <c r="I470" s="61">
        <f t="shared" si="7"/>
        <v>16023.699999999999</v>
      </c>
      <c r="J470" s="8" t="s">
        <v>69</v>
      </c>
      <c r="K470" s="9"/>
      <c r="L470" s="10">
        <v>0</v>
      </c>
      <c r="M470" s="11">
        <v>0</v>
      </c>
      <c r="N470" s="35" t="s">
        <v>858</v>
      </c>
      <c r="O470" s="12"/>
      <c r="P470" s="6">
        <v>9</v>
      </c>
      <c r="Q470" s="6" t="s">
        <v>490</v>
      </c>
      <c r="R470" s="53" t="s">
        <v>1733</v>
      </c>
    </row>
    <row r="471" spans="1:18" x14ac:dyDescent="0.25">
      <c r="A471" s="2"/>
      <c r="B471" s="3" t="s">
        <v>861</v>
      </c>
      <c r="C471" s="46" t="s">
        <v>1711</v>
      </c>
      <c r="D471" s="55">
        <v>45174</v>
      </c>
      <c r="E471" s="5" t="s">
        <v>862</v>
      </c>
      <c r="F471" s="6"/>
      <c r="G471" s="7">
        <v>4.5781999999999998</v>
      </c>
      <c r="H471" s="2">
        <v>7501</v>
      </c>
      <c r="I471" s="61">
        <f t="shared" si="7"/>
        <v>34341.078199999996</v>
      </c>
      <c r="J471" s="8" t="s">
        <v>64</v>
      </c>
      <c r="K471" s="9"/>
      <c r="L471" s="10">
        <v>34341.08</v>
      </c>
      <c r="M471" s="11">
        <v>157220.332456</v>
      </c>
      <c r="N471" s="6"/>
      <c r="O471" s="12"/>
      <c r="P471" s="6">
        <v>9</v>
      </c>
      <c r="Q471" s="6" t="s">
        <v>490</v>
      </c>
      <c r="R471" s="53" t="s">
        <v>1733</v>
      </c>
    </row>
    <row r="472" spans="1:18" x14ac:dyDescent="0.25">
      <c r="A472" s="2"/>
      <c r="B472" s="3" t="s">
        <v>863</v>
      </c>
      <c r="C472" s="46" t="s">
        <v>234</v>
      </c>
      <c r="D472" s="55">
        <v>45174</v>
      </c>
      <c r="E472" s="5" t="s">
        <v>864</v>
      </c>
      <c r="F472" s="6"/>
      <c r="G472" s="7">
        <v>4.5781999999999998</v>
      </c>
      <c r="H472" s="2">
        <v>30000</v>
      </c>
      <c r="I472" s="61">
        <f t="shared" si="7"/>
        <v>137346</v>
      </c>
      <c r="J472" s="8" t="s">
        <v>234</v>
      </c>
      <c r="K472" s="9"/>
      <c r="L472" s="10"/>
      <c r="M472" s="11">
        <v>0</v>
      </c>
      <c r="N472" s="6"/>
      <c r="O472" s="37">
        <v>44462</v>
      </c>
      <c r="P472" s="6">
        <v>9</v>
      </c>
      <c r="Q472" s="6" t="s">
        <v>490</v>
      </c>
      <c r="R472" s="53" t="s">
        <v>1733</v>
      </c>
    </row>
    <row r="473" spans="1:18" x14ac:dyDescent="0.25">
      <c r="A473" s="2"/>
      <c r="B473" s="3" t="s">
        <v>865</v>
      </c>
      <c r="C473" s="46" t="s">
        <v>234</v>
      </c>
      <c r="D473" s="55">
        <v>45174</v>
      </c>
      <c r="E473" s="5" t="s">
        <v>866</v>
      </c>
      <c r="F473" s="6"/>
      <c r="G473" s="7">
        <v>4.5781999999999998</v>
      </c>
      <c r="H473" s="2">
        <v>7501</v>
      </c>
      <c r="I473" s="61">
        <f t="shared" si="7"/>
        <v>34341.078199999996</v>
      </c>
      <c r="J473" s="8" t="s">
        <v>234</v>
      </c>
      <c r="K473" s="9"/>
      <c r="L473" s="10"/>
      <c r="M473" s="11">
        <v>0</v>
      </c>
      <c r="N473" s="6"/>
      <c r="O473" s="37">
        <v>43841</v>
      </c>
      <c r="P473" s="6">
        <v>9</v>
      </c>
      <c r="Q473" s="6" t="s">
        <v>490</v>
      </c>
      <c r="R473" s="53" t="s">
        <v>1733</v>
      </c>
    </row>
    <row r="474" spans="1:18" x14ac:dyDescent="0.25">
      <c r="A474" s="2"/>
      <c r="B474" s="3" t="s">
        <v>867</v>
      </c>
      <c r="C474" s="46" t="s">
        <v>1711</v>
      </c>
      <c r="D474" s="56">
        <v>45174</v>
      </c>
      <c r="E474" s="5" t="s">
        <v>868</v>
      </c>
      <c r="F474" s="6"/>
      <c r="G474" s="7">
        <v>4.5781999999999998</v>
      </c>
      <c r="H474" s="2">
        <v>8000</v>
      </c>
      <c r="I474" s="61">
        <f t="shared" si="7"/>
        <v>36625.599999999999</v>
      </c>
      <c r="J474" s="8" t="s">
        <v>64</v>
      </c>
      <c r="K474" s="9"/>
      <c r="L474" s="10">
        <v>36625.599999999999</v>
      </c>
      <c r="M474" s="11">
        <v>167679.32191999999</v>
      </c>
      <c r="N474" s="6"/>
      <c r="O474" s="12"/>
      <c r="P474" s="6">
        <v>9</v>
      </c>
      <c r="Q474" s="6" t="s">
        <v>490</v>
      </c>
      <c r="R474" s="53" t="s">
        <v>1733</v>
      </c>
    </row>
    <row r="475" spans="1:18" x14ac:dyDescent="0.25">
      <c r="A475" s="2"/>
      <c r="B475" s="3" t="s">
        <v>869</v>
      </c>
      <c r="C475" s="46" t="s">
        <v>1711</v>
      </c>
      <c r="D475" s="55">
        <v>45174</v>
      </c>
      <c r="E475" s="5" t="s">
        <v>870</v>
      </c>
      <c r="F475" s="14"/>
      <c r="G475" s="32">
        <v>4.5781999999999998</v>
      </c>
      <c r="H475" s="13">
        <v>8000</v>
      </c>
      <c r="I475" s="61">
        <f t="shared" si="7"/>
        <v>36625.599999999999</v>
      </c>
      <c r="J475" s="20" t="s">
        <v>64</v>
      </c>
      <c r="K475" s="9"/>
      <c r="L475" s="21">
        <v>36625.599999999999</v>
      </c>
      <c r="M475" s="15">
        <v>167679.32191999999</v>
      </c>
      <c r="N475" s="6"/>
      <c r="O475" s="12"/>
      <c r="P475" s="6">
        <v>9</v>
      </c>
      <c r="Q475" s="6" t="s">
        <v>490</v>
      </c>
      <c r="R475" s="53" t="s">
        <v>1733</v>
      </c>
    </row>
    <row r="476" spans="1:18" x14ac:dyDescent="0.25">
      <c r="A476" s="2"/>
      <c r="B476" s="3" t="s">
        <v>871</v>
      </c>
      <c r="C476" s="46" t="s">
        <v>234</v>
      </c>
      <c r="D476" s="55">
        <v>45174</v>
      </c>
      <c r="E476" s="5" t="s">
        <v>872</v>
      </c>
      <c r="F476" s="14"/>
      <c r="G476" s="32">
        <v>4.5781999999999998</v>
      </c>
      <c r="H476" s="13">
        <v>5000</v>
      </c>
      <c r="I476" s="61">
        <f t="shared" si="7"/>
        <v>22891</v>
      </c>
      <c r="J476" s="20" t="s">
        <v>234</v>
      </c>
      <c r="K476" s="9"/>
      <c r="L476" s="10"/>
      <c r="M476" s="15">
        <v>0</v>
      </c>
      <c r="N476" s="6"/>
      <c r="O476" s="38">
        <v>43946</v>
      </c>
      <c r="P476" s="6">
        <v>9</v>
      </c>
      <c r="Q476" s="6" t="s">
        <v>490</v>
      </c>
      <c r="R476" s="53" t="s">
        <v>1733</v>
      </c>
    </row>
    <row r="477" spans="1:18" x14ac:dyDescent="0.25">
      <c r="A477" s="2"/>
      <c r="B477" s="3" t="s">
        <v>873</v>
      </c>
      <c r="C477" s="46" t="s">
        <v>1711</v>
      </c>
      <c r="D477" s="55">
        <v>45174</v>
      </c>
      <c r="E477" s="5" t="s">
        <v>770</v>
      </c>
      <c r="F477" s="6"/>
      <c r="G477" s="7">
        <v>4.5781999999999998</v>
      </c>
      <c r="H477" s="2">
        <v>1000</v>
      </c>
      <c r="I477" s="61">
        <f t="shared" si="7"/>
        <v>4578.2</v>
      </c>
      <c r="J477" s="8" t="s">
        <v>64</v>
      </c>
      <c r="K477" s="9"/>
      <c r="L477" s="10">
        <v>4578.2</v>
      </c>
      <c r="M477" s="11">
        <v>20959.915239999998</v>
      </c>
      <c r="N477" s="6"/>
      <c r="O477" s="12"/>
      <c r="P477" s="6">
        <v>9</v>
      </c>
      <c r="Q477" s="6" t="s">
        <v>490</v>
      </c>
      <c r="R477" s="53" t="s">
        <v>1733</v>
      </c>
    </row>
    <row r="478" spans="1:18" x14ac:dyDescent="0.25">
      <c r="A478" s="2"/>
      <c r="B478" s="3" t="s">
        <v>874</v>
      </c>
      <c r="C478" s="46" t="s">
        <v>1711</v>
      </c>
      <c r="D478" s="56">
        <v>45174</v>
      </c>
      <c r="E478" s="5" t="s">
        <v>875</v>
      </c>
      <c r="F478" s="6"/>
      <c r="G478" s="7">
        <v>4.5781999999999998</v>
      </c>
      <c r="H478" s="2">
        <v>50001</v>
      </c>
      <c r="I478" s="61">
        <f t="shared" si="7"/>
        <v>228914.57819999999</v>
      </c>
      <c r="J478" s="8" t="s">
        <v>64</v>
      </c>
      <c r="K478" s="9"/>
      <c r="L478" s="10">
        <v>228914.58</v>
      </c>
      <c r="M478" s="11">
        <v>1048016.730156</v>
      </c>
      <c r="N478" s="6"/>
      <c r="O478" s="12"/>
      <c r="P478" s="6">
        <v>9</v>
      </c>
      <c r="Q478" s="6" t="s">
        <v>490</v>
      </c>
      <c r="R478" s="53" t="s">
        <v>1733</v>
      </c>
    </row>
    <row r="479" spans="1:18" x14ac:dyDescent="0.25">
      <c r="A479" s="2"/>
      <c r="B479" s="3" t="s">
        <v>876</v>
      </c>
      <c r="C479" s="46" t="s">
        <v>234</v>
      </c>
      <c r="D479" s="55">
        <v>45174</v>
      </c>
      <c r="E479" s="5" t="s">
        <v>1788</v>
      </c>
      <c r="F479" s="6"/>
      <c r="G479" s="7">
        <v>4.5781999999999998</v>
      </c>
      <c r="H479" s="2">
        <v>7500</v>
      </c>
      <c r="I479" s="61">
        <f t="shared" si="7"/>
        <v>34336.5</v>
      </c>
      <c r="J479" s="8" t="s">
        <v>234</v>
      </c>
      <c r="K479" s="9"/>
      <c r="L479" s="10"/>
      <c r="M479" s="11">
        <v>0</v>
      </c>
      <c r="N479" s="6"/>
      <c r="O479" s="37">
        <v>44123</v>
      </c>
      <c r="P479" s="6">
        <v>9</v>
      </c>
      <c r="Q479" s="6" t="s">
        <v>490</v>
      </c>
      <c r="R479" s="53" t="s">
        <v>1733</v>
      </c>
    </row>
    <row r="480" spans="1:18" x14ac:dyDescent="0.25">
      <c r="A480" s="2"/>
      <c r="B480" s="3" t="s">
        <v>877</v>
      </c>
      <c r="C480" s="46" t="s">
        <v>1712</v>
      </c>
      <c r="D480" s="55">
        <v>45174</v>
      </c>
      <c r="E480" s="5" t="s">
        <v>1789</v>
      </c>
      <c r="F480" s="6"/>
      <c r="G480" s="7">
        <v>4.5781999999999998</v>
      </c>
      <c r="H480" s="2">
        <v>5000</v>
      </c>
      <c r="I480" s="61">
        <f t="shared" si="7"/>
        <v>22891</v>
      </c>
      <c r="J480" s="8" t="s">
        <v>69</v>
      </c>
      <c r="K480" s="9"/>
      <c r="L480" s="10">
        <v>11445.5</v>
      </c>
      <c r="M480" s="11">
        <v>52399.788099999998</v>
      </c>
      <c r="N480" s="6"/>
      <c r="O480" s="12"/>
      <c r="P480" s="6">
        <v>9</v>
      </c>
      <c r="Q480" s="6" t="s">
        <v>490</v>
      </c>
      <c r="R480" s="53" t="s">
        <v>1733</v>
      </c>
    </row>
    <row r="481" spans="1:18" ht="25.5" x14ac:dyDescent="0.25">
      <c r="A481" s="2"/>
      <c r="B481" s="3" t="s">
        <v>878</v>
      </c>
      <c r="C481" s="46" t="s">
        <v>1712</v>
      </c>
      <c r="D481" s="56">
        <v>45174</v>
      </c>
      <c r="E481" s="5" t="s">
        <v>879</v>
      </c>
      <c r="F481" s="6"/>
      <c r="G481" s="7">
        <v>4.5781999999999998</v>
      </c>
      <c r="H481" s="2">
        <v>7000</v>
      </c>
      <c r="I481" s="61">
        <f t="shared" si="7"/>
        <v>32047.399999999998</v>
      </c>
      <c r="J481" s="8" t="s">
        <v>69</v>
      </c>
      <c r="K481" s="9"/>
      <c r="L481" s="10">
        <v>0</v>
      </c>
      <c r="M481" s="11">
        <v>0</v>
      </c>
      <c r="N481" s="35" t="s">
        <v>880</v>
      </c>
      <c r="O481" s="12"/>
      <c r="P481" s="6">
        <v>9</v>
      </c>
      <c r="Q481" s="6" t="s">
        <v>490</v>
      </c>
      <c r="R481" s="53" t="s">
        <v>1733</v>
      </c>
    </row>
    <row r="482" spans="1:18" x14ac:dyDescent="0.25">
      <c r="A482" s="2"/>
      <c r="B482" s="3" t="s">
        <v>881</v>
      </c>
      <c r="C482" s="46" t="s">
        <v>722</v>
      </c>
      <c r="D482" s="55">
        <v>45174</v>
      </c>
      <c r="E482" s="5" t="s">
        <v>882</v>
      </c>
      <c r="F482" s="6"/>
      <c r="G482" s="7">
        <v>4.5781999999999998</v>
      </c>
      <c r="H482" s="2">
        <v>15000</v>
      </c>
      <c r="I482" s="61">
        <f t="shared" si="7"/>
        <v>68673</v>
      </c>
      <c r="J482" s="8" t="s">
        <v>77</v>
      </c>
      <c r="K482" s="9"/>
      <c r="L482" s="29">
        <v>0</v>
      </c>
      <c r="M482" s="11">
        <v>0</v>
      </c>
      <c r="N482" s="35" t="s">
        <v>722</v>
      </c>
      <c r="O482" s="12"/>
      <c r="P482" s="6">
        <v>9</v>
      </c>
      <c r="Q482" s="6" t="s">
        <v>490</v>
      </c>
      <c r="R482" s="53" t="s">
        <v>1733</v>
      </c>
    </row>
    <row r="483" spans="1:18" x14ac:dyDescent="0.25">
      <c r="A483" s="2"/>
      <c r="B483" s="3" t="s">
        <v>883</v>
      </c>
      <c r="C483" s="46" t="s">
        <v>234</v>
      </c>
      <c r="D483" s="55">
        <v>45174</v>
      </c>
      <c r="E483" s="5" t="s">
        <v>1790</v>
      </c>
      <c r="F483" s="6"/>
      <c r="G483" s="7">
        <v>4.5781999999999998</v>
      </c>
      <c r="H483" s="2">
        <v>50001</v>
      </c>
      <c r="I483" s="61">
        <f t="shared" si="7"/>
        <v>228914.57819999999</v>
      </c>
      <c r="J483" s="8" t="s">
        <v>234</v>
      </c>
      <c r="K483" s="9"/>
      <c r="L483" s="10"/>
      <c r="M483" s="11">
        <v>0</v>
      </c>
      <c r="N483" s="6"/>
      <c r="O483" s="37">
        <v>43832</v>
      </c>
      <c r="P483" s="6">
        <v>9</v>
      </c>
      <c r="Q483" s="6" t="s">
        <v>490</v>
      </c>
      <c r="R483" s="53" t="s">
        <v>1733</v>
      </c>
    </row>
    <row r="484" spans="1:18" x14ac:dyDescent="0.25">
      <c r="A484" s="2"/>
      <c r="B484" s="3" t="s">
        <v>884</v>
      </c>
      <c r="C484" s="46" t="s">
        <v>722</v>
      </c>
      <c r="D484" s="55">
        <v>45174</v>
      </c>
      <c r="E484" s="5" t="s">
        <v>885</v>
      </c>
      <c r="F484" s="6"/>
      <c r="G484" s="7">
        <v>4.5781999999999998</v>
      </c>
      <c r="H484" s="2">
        <v>9000</v>
      </c>
      <c r="I484" s="61">
        <f t="shared" si="7"/>
        <v>41203.799999999996</v>
      </c>
      <c r="J484" s="8" t="s">
        <v>77</v>
      </c>
      <c r="K484" s="9"/>
      <c r="L484" s="29">
        <v>0</v>
      </c>
      <c r="M484" s="11">
        <v>0</v>
      </c>
      <c r="N484" s="35" t="s">
        <v>722</v>
      </c>
      <c r="O484" s="12"/>
      <c r="P484" s="6">
        <v>9</v>
      </c>
      <c r="Q484" s="6" t="s">
        <v>490</v>
      </c>
      <c r="R484" s="53" t="s">
        <v>1733</v>
      </c>
    </row>
    <row r="485" spans="1:18" x14ac:dyDescent="0.25">
      <c r="A485" s="2"/>
      <c r="B485" s="3" t="s">
        <v>886</v>
      </c>
      <c r="C485" s="46" t="s">
        <v>1711</v>
      </c>
      <c r="D485" s="55">
        <v>45174</v>
      </c>
      <c r="E485" s="5" t="s">
        <v>1791</v>
      </c>
      <c r="F485" s="6"/>
      <c r="G485" s="7">
        <v>4.5781999999999998</v>
      </c>
      <c r="H485" s="2">
        <v>1200</v>
      </c>
      <c r="I485" s="61">
        <f t="shared" si="7"/>
        <v>5493.84</v>
      </c>
      <c r="J485" s="8" t="s">
        <v>64</v>
      </c>
      <c r="K485" s="9"/>
      <c r="L485" s="10">
        <v>5493.84</v>
      </c>
      <c r="M485" s="11">
        <v>25151.898288</v>
      </c>
      <c r="N485" s="6"/>
      <c r="O485" s="12"/>
      <c r="P485" s="6">
        <v>9</v>
      </c>
      <c r="Q485" s="6" t="s">
        <v>490</v>
      </c>
      <c r="R485" s="53" t="s">
        <v>1733</v>
      </c>
    </row>
    <row r="486" spans="1:18" x14ac:dyDescent="0.25">
      <c r="A486" s="2"/>
      <c r="B486" s="3" t="s">
        <v>887</v>
      </c>
      <c r="C486" s="46" t="s">
        <v>234</v>
      </c>
      <c r="D486" s="55">
        <v>45174</v>
      </c>
      <c r="E486" s="5" t="s">
        <v>1792</v>
      </c>
      <c r="F486" s="6"/>
      <c r="G486" s="7">
        <v>4.5781999999999998</v>
      </c>
      <c r="H486" s="2">
        <v>30000</v>
      </c>
      <c r="I486" s="61">
        <f t="shared" si="7"/>
        <v>137346</v>
      </c>
      <c r="J486" s="8" t="s">
        <v>234</v>
      </c>
      <c r="K486" s="9"/>
      <c r="L486" s="10"/>
      <c r="M486" s="11">
        <v>0</v>
      </c>
      <c r="N486" s="6"/>
      <c r="O486" s="37">
        <v>44300</v>
      </c>
      <c r="P486" s="6">
        <v>9</v>
      </c>
      <c r="Q486" s="6" t="s">
        <v>490</v>
      </c>
      <c r="R486" s="53" t="s">
        <v>1733</v>
      </c>
    </row>
    <row r="487" spans="1:18" x14ac:dyDescent="0.25">
      <c r="A487" s="2"/>
      <c r="B487" s="3" t="s">
        <v>888</v>
      </c>
      <c r="C487" s="46" t="s">
        <v>1712</v>
      </c>
      <c r="D487" s="55">
        <v>45174</v>
      </c>
      <c r="E487" s="5" t="s">
        <v>889</v>
      </c>
      <c r="F487" s="6"/>
      <c r="G487" s="7">
        <v>4.5781999999999998</v>
      </c>
      <c r="H487" s="2">
        <v>30000</v>
      </c>
      <c r="I487" s="61">
        <f t="shared" si="7"/>
        <v>137346</v>
      </c>
      <c r="J487" s="8" t="s">
        <v>69</v>
      </c>
      <c r="K487" s="9"/>
      <c r="L487" s="10">
        <v>114455</v>
      </c>
      <c r="M487" s="11">
        <v>523997.88099999999</v>
      </c>
      <c r="N487" s="6"/>
      <c r="O487" s="12"/>
      <c r="P487" s="6">
        <v>9</v>
      </c>
      <c r="Q487" s="6" t="s">
        <v>490</v>
      </c>
      <c r="R487" s="53" t="s">
        <v>1733</v>
      </c>
    </row>
    <row r="488" spans="1:18" x14ac:dyDescent="0.25">
      <c r="A488" s="2"/>
      <c r="B488" s="3" t="s">
        <v>890</v>
      </c>
      <c r="C488" s="46" t="s">
        <v>234</v>
      </c>
      <c r="D488" s="55">
        <v>45174</v>
      </c>
      <c r="E488" s="5" t="s">
        <v>394</v>
      </c>
      <c r="F488" s="6"/>
      <c r="G488" s="7">
        <v>4.5781999999999998</v>
      </c>
      <c r="H488" s="2">
        <v>8000</v>
      </c>
      <c r="I488" s="61">
        <f t="shared" si="7"/>
        <v>36625.599999999999</v>
      </c>
      <c r="J488" s="8" t="s">
        <v>234</v>
      </c>
      <c r="K488" s="9"/>
      <c r="L488" s="10"/>
      <c r="M488" s="11">
        <v>0</v>
      </c>
      <c r="N488" s="6"/>
      <c r="O488" s="37">
        <v>44414</v>
      </c>
      <c r="P488" s="6">
        <v>9</v>
      </c>
      <c r="Q488" s="6" t="s">
        <v>490</v>
      </c>
      <c r="R488" s="53" t="s">
        <v>1733</v>
      </c>
    </row>
    <row r="489" spans="1:18" ht="38.25" x14ac:dyDescent="0.25">
      <c r="A489" s="2"/>
      <c r="B489" s="3" t="s">
        <v>891</v>
      </c>
      <c r="C489" s="4" t="s">
        <v>72</v>
      </c>
      <c r="D489" s="56">
        <v>45174</v>
      </c>
      <c r="E489" s="5" t="s">
        <v>135</v>
      </c>
      <c r="F489" s="6"/>
      <c r="G489" s="7">
        <v>4.5781999999999998</v>
      </c>
      <c r="H489" s="2">
        <v>8000</v>
      </c>
      <c r="I489" s="61">
        <f t="shared" si="7"/>
        <v>36625.599999999999</v>
      </c>
      <c r="J489" s="8" t="s">
        <v>122</v>
      </c>
      <c r="K489" s="9"/>
      <c r="L489" s="27">
        <v>0</v>
      </c>
      <c r="M489" s="11">
        <v>0</v>
      </c>
      <c r="N489" s="35" t="s">
        <v>892</v>
      </c>
      <c r="O489" s="12"/>
      <c r="P489" s="6">
        <v>9</v>
      </c>
      <c r="Q489" s="6" t="s">
        <v>490</v>
      </c>
      <c r="R489" s="53" t="s">
        <v>1733</v>
      </c>
    </row>
    <row r="490" spans="1:18" ht="25.5" x14ac:dyDescent="0.25">
      <c r="A490" s="2"/>
      <c r="B490" s="3" t="s">
        <v>893</v>
      </c>
      <c r="C490" s="46" t="s">
        <v>722</v>
      </c>
      <c r="D490" s="56">
        <v>45174</v>
      </c>
      <c r="E490" s="5" t="s">
        <v>1793</v>
      </c>
      <c r="F490" s="6"/>
      <c r="G490" s="7">
        <v>4.5781999999999998</v>
      </c>
      <c r="H490" s="2">
        <v>0</v>
      </c>
      <c r="I490" s="61" t="str">
        <f t="shared" si="7"/>
        <v/>
      </c>
      <c r="J490" s="8" t="s">
        <v>77</v>
      </c>
      <c r="K490" s="9"/>
      <c r="L490" s="29">
        <v>0</v>
      </c>
      <c r="M490" s="11">
        <v>0</v>
      </c>
      <c r="N490" s="35" t="s">
        <v>894</v>
      </c>
      <c r="O490" s="12"/>
      <c r="P490" s="6">
        <v>9</v>
      </c>
      <c r="Q490" s="6" t="s">
        <v>490</v>
      </c>
      <c r="R490" s="53" t="s">
        <v>1733</v>
      </c>
    </row>
    <row r="491" spans="1:18" ht="25.5" x14ac:dyDescent="0.25">
      <c r="A491" s="2"/>
      <c r="B491" s="3" t="s">
        <v>895</v>
      </c>
      <c r="C491" s="46" t="s">
        <v>722</v>
      </c>
      <c r="D491" s="56">
        <v>45174</v>
      </c>
      <c r="E491" s="5" t="s">
        <v>1793</v>
      </c>
      <c r="F491" s="6"/>
      <c r="G491" s="7">
        <v>4.5781999999999998</v>
      </c>
      <c r="H491" s="2">
        <v>0</v>
      </c>
      <c r="I491" s="61" t="str">
        <f t="shared" si="7"/>
        <v/>
      </c>
      <c r="J491" s="8" t="s">
        <v>77</v>
      </c>
      <c r="K491" s="9"/>
      <c r="L491" s="29">
        <v>0</v>
      </c>
      <c r="M491" s="11">
        <v>0</v>
      </c>
      <c r="N491" s="35" t="s">
        <v>894</v>
      </c>
      <c r="O491" s="12"/>
      <c r="P491" s="6">
        <v>9</v>
      </c>
      <c r="Q491" s="6" t="s">
        <v>490</v>
      </c>
      <c r="R491" s="53" t="s">
        <v>1733</v>
      </c>
    </row>
    <row r="492" spans="1:18" x14ac:dyDescent="0.25">
      <c r="A492" s="2"/>
      <c r="B492" s="3" t="s">
        <v>896</v>
      </c>
      <c r="C492" s="46" t="s">
        <v>1712</v>
      </c>
      <c r="D492" s="55">
        <v>45174</v>
      </c>
      <c r="E492" s="5" t="s">
        <v>897</v>
      </c>
      <c r="F492" s="6"/>
      <c r="G492" s="7">
        <v>4.5781999999999998</v>
      </c>
      <c r="H492" s="2">
        <v>7501</v>
      </c>
      <c r="I492" s="61">
        <f t="shared" si="7"/>
        <v>34341.078199999996</v>
      </c>
      <c r="J492" s="8" t="s">
        <v>69</v>
      </c>
      <c r="K492" s="9"/>
      <c r="L492" s="10">
        <v>0</v>
      </c>
      <c r="M492" s="11">
        <v>0</v>
      </c>
      <c r="N492" s="35" t="s">
        <v>858</v>
      </c>
      <c r="O492" s="12"/>
      <c r="P492" s="6">
        <v>9</v>
      </c>
      <c r="Q492" s="6" t="s">
        <v>490</v>
      </c>
      <c r="R492" s="53" t="s">
        <v>1733</v>
      </c>
    </row>
    <row r="493" spans="1:18" x14ac:dyDescent="0.25">
      <c r="A493" s="2"/>
      <c r="B493" s="3" t="s">
        <v>898</v>
      </c>
      <c r="C493" s="46" t="s">
        <v>234</v>
      </c>
      <c r="D493" s="55">
        <v>45174</v>
      </c>
      <c r="E493" s="5" t="s">
        <v>899</v>
      </c>
      <c r="F493" s="6"/>
      <c r="G493" s="7">
        <v>4.5781999999999998</v>
      </c>
      <c r="H493" s="2">
        <v>7501</v>
      </c>
      <c r="I493" s="61">
        <f t="shared" si="7"/>
        <v>34341.078199999996</v>
      </c>
      <c r="J493" s="8" t="s">
        <v>234</v>
      </c>
      <c r="K493" s="9"/>
      <c r="L493" s="10"/>
      <c r="M493" s="11">
        <v>0</v>
      </c>
      <c r="N493" s="6"/>
      <c r="O493" s="37">
        <v>43956</v>
      </c>
      <c r="P493" s="6">
        <v>9</v>
      </c>
      <c r="Q493" s="6" t="s">
        <v>490</v>
      </c>
      <c r="R493" s="53" t="s">
        <v>1733</v>
      </c>
    </row>
    <row r="494" spans="1:18" x14ac:dyDescent="0.25">
      <c r="A494" s="2"/>
      <c r="B494" s="3" t="s">
        <v>900</v>
      </c>
      <c r="C494" s="46" t="s">
        <v>722</v>
      </c>
      <c r="D494" s="56">
        <v>45174</v>
      </c>
      <c r="E494" s="5" t="s">
        <v>1794</v>
      </c>
      <c r="F494" s="6"/>
      <c r="G494" s="7">
        <v>4.5781999999999998</v>
      </c>
      <c r="H494" s="2">
        <v>3000</v>
      </c>
      <c r="I494" s="61">
        <f t="shared" si="7"/>
        <v>13734.6</v>
      </c>
      <c r="J494" s="8" t="s">
        <v>77</v>
      </c>
      <c r="K494" s="9"/>
      <c r="L494" s="29">
        <v>0</v>
      </c>
      <c r="M494" s="11">
        <v>0</v>
      </c>
      <c r="N494" s="35" t="s">
        <v>840</v>
      </c>
      <c r="O494" s="12"/>
      <c r="P494" s="6">
        <v>9</v>
      </c>
      <c r="Q494" s="6" t="s">
        <v>490</v>
      </c>
      <c r="R494" s="53" t="s">
        <v>1733</v>
      </c>
    </row>
    <row r="495" spans="1:18" x14ac:dyDescent="0.25">
      <c r="A495" s="2"/>
      <c r="B495" s="3" t="s">
        <v>901</v>
      </c>
      <c r="C495" s="46" t="s">
        <v>234</v>
      </c>
      <c r="D495" s="55">
        <v>45174</v>
      </c>
      <c r="E495" s="5" t="s">
        <v>902</v>
      </c>
      <c r="F495" s="6"/>
      <c r="G495" s="7">
        <v>4.5781999999999998</v>
      </c>
      <c r="H495" s="2">
        <v>7500</v>
      </c>
      <c r="I495" s="61">
        <f t="shared" si="7"/>
        <v>34336.5</v>
      </c>
      <c r="J495" s="8" t="s">
        <v>234</v>
      </c>
      <c r="K495" s="9"/>
      <c r="L495" s="10"/>
      <c r="M495" s="11">
        <v>0</v>
      </c>
      <c r="N495" s="6"/>
      <c r="O495" s="37">
        <v>44509</v>
      </c>
      <c r="P495" s="6">
        <v>9</v>
      </c>
      <c r="Q495" s="6" t="s">
        <v>490</v>
      </c>
      <c r="R495" s="53" t="s">
        <v>1733</v>
      </c>
    </row>
    <row r="496" spans="1:18" x14ac:dyDescent="0.25">
      <c r="A496" s="2"/>
      <c r="B496" s="3" t="s">
        <v>903</v>
      </c>
      <c r="C496" s="46" t="s">
        <v>234</v>
      </c>
      <c r="D496" s="55">
        <v>45174</v>
      </c>
      <c r="E496" s="5" t="s">
        <v>904</v>
      </c>
      <c r="F496" s="6"/>
      <c r="G496" s="7">
        <v>4.5781999999999998</v>
      </c>
      <c r="H496" s="2">
        <v>20000</v>
      </c>
      <c r="I496" s="61">
        <f t="shared" si="7"/>
        <v>91564</v>
      </c>
      <c r="J496" s="8" t="s">
        <v>234</v>
      </c>
      <c r="K496" s="9"/>
      <c r="L496" s="10"/>
      <c r="M496" s="11">
        <v>0</v>
      </c>
      <c r="N496" s="6"/>
      <c r="O496" s="37">
        <v>44417</v>
      </c>
      <c r="P496" s="6">
        <v>9</v>
      </c>
      <c r="Q496" s="6" t="s">
        <v>490</v>
      </c>
      <c r="R496" s="53" t="s">
        <v>1733</v>
      </c>
    </row>
    <row r="497" spans="1:18" x14ac:dyDescent="0.25">
      <c r="A497" s="2"/>
      <c r="B497" s="3" t="s">
        <v>905</v>
      </c>
      <c r="C497" s="46" t="s">
        <v>1712</v>
      </c>
      <c r="D497" s="55">
        <v>45174</v>
      </c>
      <c r="E497" s="5" t="s">
        <v>906</v>
      </c>
      <c r="F497" s="6"/>
      <c r="G497" s="7">
        <v>4.5781999999999998</v>
      </c>
      <c r="H497" s="2">
        <v>10000</v>
      </c>
      <c r="I497" s="61">
        <f t="shared" si="7"/>
        <v>45782</v>
      </c>
      <c r="J497" s="8" t="s">
        <v>69</v>
      </c>
      <c r="K497" s="9"/>
      <c r="L497" s="10">
        <v>22891</v>
      </c>
      <c r="M497" s="11">
        <v>104799.5762</v>
      </c>
      <c r="N497" s="6"/>
      <c r="O497" s="12"/>
      <c r="P497" s="6">
        <v>9</v>
      </c>
      <c r="Q497" s="6" t="s">
        <v>490</v>
      </c>
      <c r="R497" s="53" t="s">
        <v>1733</v>
      </c>
    </row>
    <row r="498" spans="1:18" x14ac:dyDescent="0.25">
      <c r="A498" s="2"/>
      <c r="B498" s="3" t="s">
        <v>907</v>
      </c>
      <c r="C498" s="46" t="s">
        <v>1711</v>
      </c>
      <c r="D498" s="55">
        <v>45154</v>
      </c>
      <c r="E498" s="5" t="s">
        <v>908</v>
      </c>
      <c r="F498" s="14"/>
      <c r="G498" s="32">
        <v>4.5781999999999998</v>
      </c>
      <c r="H498" s="13">
        <v>6000</v>
      </c>
      <c r="I498" s="61">
        <f t="shared" si="7"/>
        <v>27469.200000000001</v>
      </c>
      <c r="J498" s="20" t="s">
        <v>64</v>
      </c>
      <c r="K498" s="9"/>
      <c r="L498" s="21">
        <v>27469.200000000001</v>
      </c>
      <c r="M498" s="15">
        <v>125759.49144</v>
      </c>
      <c r="N498" s="6"/>
      <c r="O498" s="12"/>
      <c r="P498" s="6">
        <v>8</v>
      </c>
      <c r="Q498" s="6" t="s">
        <v>530</v>
      </c>
      <c r="R498" s="53" t="s">
        <v>1733</v>
      </c>
    </row>
    <row r="499" spans="1:18" x14ac:dyDescent="0.25">
      <c r="A499" s="2"/>
      <c r="B499" s="3" t="s">
        <v>909</v>
      </c>
      <c r="C499" s="46" t="s">
        <v>1711</v>
      </c>
      <c r="D499" s="55">
        <v>45154</v>
      </c>
      <c r="E499" s="5" t="s">
        <v>1759</v>
      </c>
      <c r="F499" s="6"/>
      <c r="G499" s="7">
        <v>4.5781999999999998</v>
      </c>
      <c r="H499" s="2">
        <v>30000</v>
      </c>
      <c r="I499" s="61">
        <f t="shared" si="7"/>
        <v>137346</v>
      </c>
      <c r="J499" s="8" t="s">
        <v>64</v>
      </c>
      <c r="K499" s="9"/>
      <c r="L499" s="10">
        <v>137346</v>
      </c>
      <c r="M499" s="11">
        <v>628797.45719999995</v>
      </c>
      <c r="N499" s="6"/>
      <c r="O499" s="12"/>
      <c r="P499" s="6">
        <v>8</v>
      </c>
      <c r="Q499" s="6" t="s">
        <v>530</v>
      </c>
      <c r="R499" s="53" t="s">
        <v>1733</v>
      </c>
    </row>
    <row r="500" spans="1:18" x14ac:dyDescent="0.25">
      <c r="A500" s="2"/>
      <c r="B500" s="3" t="s">
        <v>910</v>
      </c>
      <c r="C500" s="46" t="s">
        <v>1711</v>
      </c>
      <c r="D500" s="55">
        <v>45154</v>
      </c>
      <c r="E500" s="5" t="s">
        <v>911</v>
      </c>
      <c r="F500" s="6"/>
      <c r="G500" s="7">
        <v>4.5781999999999998</v>
      </c>
      <c r="H500" s="2">
        <v>50001</v>
      </c>
      <c r="I500" s="61">
        <f t="shared" si="7"/>
        <v>228914.57819999999</v>
      </c>
      <c r="J500" s="8" t="s">
        <v>64</v>
      </c>
      <c r="K500" s="9"/>
      <c r="L500" s="10">
        <v>228914.58</v>
      </c>
      <c r="M500" s="11">
        <v>1048016.730156</v>
      </c>
      <c r="N500" s="6"/>
      <c r="O500" s="12"/>
      <c r="P500" s="6">
        <v>8</v>
      </c>
      <c r="Q500" s="6" t="s">
        <v>530</v>
      </c>
      <c r="R500" s="53" t="s">
        <v>1733</v>
      </c>
    </row>
    <row r="501" spans="1:18" x14ac:dyDescent="0.25">
      <c r="A501" s="2"/>
      <c r="B501" s="3" t="s">
        <v>912</v>
      </c>
      <c r="C501" s="46" t="s">
        <v>722</v>
      </c>
      <c r="D501" s="55">
        <v>45154</v>
      </c>
      <c r="E501" s="5" t="s">
        <v>913</v>
      </c>
      <c r="F501" s="6"/>
      <c r="G501" s="7">
        <v>4.5781999999999998</v>
      </c>
      <c r="H501" s="2">
        <v>30000</v>
      </c>
      <c r="I501" s="61">
        <f t="shared" si="7"/>
        <v>137346</v>
      </c>
      <c r="J501" s="8" t="s">
        <v>77</v>
      </c>
      <c r="K501" s="9"/>
      <c r="L501" s="29">
        <v>0</v>
      </c>
      <c r="M501" s="11">
        <v>0</v>
      </c>
      <c r="N501" s="35"/>
      <c r="O501" s="12"/>
      <c r="P501" s="6">
        <v>8</v>
      </c>
      <c r="Q501" s="6" t="s">
        <v>530</v>
      </c>
      <c r="R501" s="53" t="s">
        <v>1733</v>
      </c>
    </row>
    <row r="502" spans="1:18" x14ac:dyDescent="0.25">
      <c r="A502" s="2"/>
      <c r="B502" s="3" t="s">
        <v>914</v>
      </c>
      <c r="C502" s="46" t="s">
        <v>1712</v>
      </c>
      <c r="D502" s="55">
        <v>45154</v>
      </c>
      <c r="E502" s="5" t="s">
        <v>915</v>
      </c>
      <c r="F502" s="6"/>
      <c r="G502" s="7">
        <v>4.5781999999999998</v>
      </c>
      <c r="H502" s="2">
        <v>10000</v>
      </c>
      <c r="I502" s="61">
        <f t="shared" si="7"/>
        <v>45782</v>
      </c>
      <c r="J502" s="8" t="s">
        <v>69</v>
      </c>
      <c r="K502" s="9"/>
      <c r="L502" s="10">
        <v>2289.1</v>
      </c>
      <c r="M502" s="11">
        <v>10479.957619999999</v>
      </c>
      <c r="N502" s="6"/>
      <c r="O502" s="12"/>
      <c r="P502" s="6">
        <v>8</v>
      </c>
      <c r="Q502" s="6" t="s">
        <v>530</v>
      </c>
      <c r="R502" s="53" t="s">
        <v>1733</v>
      </c>
    </row>
    <row r="503" spans="1:18" x14ac:dyDescent="0.25">
      <c r="A503" s="2"/>
      <c r="B503" s="3" t="s">
        <v>916</v>
      </c>
      <c r="C503" s="46" t="s">
        <v>722</v>
      </c>
      <c r="D503" s="55">
        <v>45143</v>
      </c>
      <c r="E503" s="5" t="s">
        <v>917</v>
      </c>
      <c r="F503" s="6"/>
      <c r="G503" s="7">
        <v>4.5781999999999998</v>
      </c>
      <c r="H503" s="2">
        <v>6500</v>
      </c>
      <c r="I503" s="61">
        <f t="shared" si="7"/>
        <v>29758.3</v>
      </c>
      <c r="J503" s="8" t="s">
        <v>77</v>
      </c>
      <c r="K503" s="9"/>
      <c r="L503" s="29">
        <v>0</v>
      </c>
      <c r="M503" s="11">
        <v>0</v>
      </c>
      <c r="N503" s="35" t="s">
        <v>722</v>
      </c>
      <c r="O503" s="12"/>
      <c r="P503" s="6">
        <v>8</v>
      </c>
      <c r="Q503" s="6" t="s">
        <v>530</v>
      </c>
      <c r="R503" s="53" t="s">
        <v>1733</v>
      </c>
    </row>
    <row r="504" spans="1:18" x14ac:dyDescent="0.25">
      <c r="A504" s="2"/>
      <c r="B504" s="16" t="s">
        <v>918</v>
      </c>
      <c r="C504" s="50" t="s">
        <v>1711</v>
      </c>
      <c r="D504" s="55">
        <v>45068</v>
      </c>
      <c r="E504" s="17" t="s">
        <v>919</v>
      </c>
      <c r="F504" s="6"/>
      <c r="G504" s="33"/>
      <c r="H504" s="2">
        <v>11000</v>
      </c>
      <c r="I504" s="61">
        <f t="shared" si="7"/>
        <v>0</v>
      </c>
      <c r="J504" s="8" t="s">
        <v>64</v>
      </c>
      <c r="K504" s="9"/>
      <c r="L504" s="10">
        <v>11000</v>
      </c>
      <c r="M504" s="11">
        <v>0</v>
      </c>
      <c r="N504" s="6"/>
      <c r="O504" s="12"/>
      <c r="P504" s="6">
        <v>5</v>
      </c>
      <c r="Q504" s="6" t="s">
        <v>487</v>
      </c>
      <c r="R504" s="53" t="s">
        <v>1733</v>
      </c>
    </row>
    <row r="505" spans="1:18" ht="25.5" x14ac:dyDescent="0.25">
      <c r="A505" s="2"/>
      <c r="B505" s="16" t="s">
        <v>920</v>
      </c>
      <c r="C505" s="24" t="s">
        <v>72</v>
      </c>
      <c r="D505" s="55">
        <v>45068</v>
      </c>
      <c r="E505" s="17" t="s">
        <v>921</v>
      </c>
      <c r="F505" s="6"/>
      <c r="G505" s="33"/>
      <c r="H505" s="2">
        <v>30000</v>
      </c>
      <c r="I505" s="61">
        <f t="shared" si="7"/>
        <v>0</v>
      </c>
      <c r="J505" s="8" t="s">
        <v>922</v>
      </c>
      <c r="K505" s="9"/>
      <c r="L505" s="10"/>
      <c r="M505" s="11">
        <v>0</v>
      </c>
      <c r="N505" s="6"/>
      <c r="O505" s="12"/>
      <c r="P505" s="6">
        <v>5</v>
      </c>
      <c r="Q505" s="6" t="s">
        <v>487</v>
      </c>
      <c r="R505" s="53" t="s">
        <v>1733</v>
      </c>
    </row>
    <row r="506" spans="1:18" x14ac:dyDescent="0.25">
      <c r="A506" s="2"/>
      <c r="B506" s="16" t="s">
        <v>923</v>
      </c>
      <c r="C506" s="50" t="s">
        <v>1712</v>
      </c>
      <c r="D506" s="55">
        <v>45068</v>
      </c>
      <c r="E506" s="17" t="s">
        <v>924</v>
      </c>
      <c r="F506" s="6"/>
      <c r="G506" s="33"/>
      <c r="H506" s="2">
        <v>30000</v>
      </c>
      <c r="I506" s="61">
        <f t="shared" si="7"/>
        <v>0</v>
      </c>
      <c r="J506" s="8" t="s">
        <v>69</v>
      </c>
      <c r="K506" s="9"/>
      <c r="L506" s="10">
        <v>5500</v>
      </c>
      <c r="M506" s="11">
        <v>0</v>
      </c>
      <c r="N506" s="6"/>
      <c r="O506" s="12"/>
      <c r="P506" s="6">
        <v>5</v>
      </c>
      <c r="Q506" s="6" t="s">
        <v>487</v>
      </c>
      <c r="R506" s="53" t="s">
        <v>1733</v>
      </c>
    </row>
    <row r="507" spans="1:18" ht="25.5" x14ac:dyDescent="0.25">
      <c r="A507" s="2"/>
      <c r="B507" s="16" t="s">
        <v>925</v>
      </c>
      <c r="C507" s="24" t="s">
        <v>72</v>
      </c>
      <c r="D507" s="55">
        <v>45068</v>
      </c>
      <c r="E507" s="17" t="s">
        <v>1795</v>
      </c>
      <c r="F507" s="6"/>
      <c r="G507" s="33"/>
      <c r="H507" s="2">
        <v>600000</v>
      </c>
      <c r="I507" s="61">
        <f t="shared" si="7"/>
        <v>0</v>
      </c>
      <c r="J507" s="8" t="s">
        <v>926</v>
      </c>
      <c r="K507" s="9"/>
      <c r="L507" s="10"/>
      <c r="M507" s="11">
        <v>0</v>
      </c>
      <c r="N507" s="6"/>
      <c r="O507" s="12"/>
      <c r="P507" s="6">
        <v>5</v>
      </c>
      <c r="Q507" s="6" t="s">
        <v>487</v>
      </c>
      <c r="R507" s="53" t="s">
        <v>1733</v>
      </c>
    </row>
    <row r="508" spans="1:18" x14ac:dyDescent="0.25">
      <c r="A508" s="2"/>
      <c r="B508" s="16" t="s">
        <v>927</v>
      </c>
      <c r="C508" s="50" t="s">
        <v>1712</v>
      </c>
      <c r="D508" s="55">
        <v>45068</v>
      </c>
      <c r="E508" s="17" t="s">
        <v>1796</v>
      </c>
      <c r="F508" s="6"/>
      <c r="G508" s="33"/>
      <c r="H508" s="2">
        <v>1000</v>
      </c>
      <c r="I508" s="61">
        <f t="shared" si="7"/>
        <v>0</v>
      </c>
      <c r="J508" s="8" t="s">
        <v>69</v>
      </c>
      <c r="K508" s="9"/>
      <c r="L508" s="10">
        <v>250</v>
      </c>
      <c r="M508" s="11">
        <v>0</v>
      </c>
      <c r="N508" s="6"/>
      <c r="O508" s="12"/>
      <c r="P508" s="6">
        <v>5</v>
      </c>
      <c r="Q508" s="6" t="s">
        <v>487</v>
      </c>
      <c r="R508" s="53" t="s">
        <v>1733</v>
      </c>
    </row>
    <row r="509" spans="1:18" x14ac:dyDescent="0.25">
      <c r="A509" s="2"/>
      <c r="B509" s="16" t="s">
        <v>928</v>
      </c>
      <c r="C509" s="50" t="s">
        <v>1711</v>
      </c>
      <c r="D509" s="55">
        <v>45068</v>
      </c>
      <c r="E509" s="17" t="s">
        <v>209</v>
      </c>
      <c r="F509" s="6"/>
      <c r="G509" s="33"/>
      <c r="H509" s="2">
        <v>8000</v>
      </c>
      <c r="I509" s="61">
        <f t="shared" si="7"/>
        <v>0</v>
      </c>
      <c r="J509" s="8" t="s">
        <v>64</v>
      </c>
      <c r="K509" s="9"/>
      <c r="L509" s="10">
        <v>8000</v>
      </c>
      <c r="M509" s="11">
        <v>0</v>
      </c>
      <c r="N509" s="6"/>
      <c r="O509" s="12"/>
      <c r="P509" s="6">
        <v>5</v>
      </c>
      <c r="Q509" s="6" t="s">
        <v>487</v>
      </c>
      <c r="R509" s="53" t="s">
        <v>1733</v>
      </c>
    </row>
    <row r="510" spans="1:18" x14ac:dyDescent="0.25">
      <c r="A510" s="2"/>
      <c r="B510" s="16" t="s">
        <v>929</v>
      </c>
      <c r="C510" s="50" t="s">
        <v>1712</v>
      </c>
      <c r="D510" s="55">
        <v>45068</v>
      </c>
      <c r="E510" s="17" t="s">
        <v>930</v>
      </c>
      <c r="F510" s="6"/>
      <c r="G510" s="33"/>
      <c r="H510" s="2">
        <v>7500</v>
      </c>
      <c r="I510" s="61">
        <f t="shared" si="7"/>
        <v>0</v>
      </c>
      <c r="J510" s="8" t="s">
        <v>69</v>
      </c>
      <c r="K510" s="9"/>
      <c r="L510" s="10">
        <v>3500</v>
      </c>
      <c r="M510" s="11">
        <v>0</v>
      </c>
      <c r="N510" s="6"/>
      <c r="O510" s="12"/>
      <c r="P510" s="6">
        <v>5</v>
      </c>
      <c r="Q510" s="6" t="s">
        <v>487</v>
      </c>
      <c r="R510" s="53" t="s">
        <v>1733</v>
      </c>
    </row>
    <row r="511" spans="1:18" x14ac:dyDescent="0.25">
      <c r="A511" s="2"/>
      <c r="B511" s="3" t="s">
        <v>931</v>
      </c>
      <c r="C511" s="46" t="s">
        <v>1712</v>
      </c>
      <c r="D511" s="55">
        <v>45068</v>
      </c>
      <c r="E511" s="5" t="s">
        <v>932</v>
      </c>
      <c r="F511" s="6"/>
      <c r="G511" s="33"/>
      <c r="H511" s="2">
        <v>7500</v>
      </c>
      <c r="I511" s="61">
        <f t="shared" si="7"/>
        <v>0</v>
      </c>
      <c r="J511" s="8" t="s">
        <v>69</v>
      </c>
      <c r="K511" s="9"/>
      <c r="L511" s="10">
        <v>500</v>
      </c>
      <c r="M511" s="11">
        <v>0</v>
      </c>
      <c r="N511" s="6"/>
      <c r="O511" s="12"/>
      <c r="P511" s="6">
        <v>5</v>
      </c>
      <c r="Q511" s="6" t="s">
        <v>487</v>
      </c>
      <c r="R511" s="53" t="s">
        <v>1735</v>
      </c>
    </row>
    <row r="512" spans="1:18" x14ac:dyDescent="0.25">
      <c r="A512" s="2"/>
      <c r="B512" s="3" t="s">
        <v>933</v>
      </c>
      <c r="C512" s="46" t="s">
        <v>1711</v>
      </c>
      <c r="D512" s="55">
        <v>45068</v>
      </c>
      <c r="E512" s="5" t="s">
        <v>934</v>
      </c>
      <c r="F512" s="6"/>
      <c r="G512" s="7">
        <v>4.5781999999999998</v>
      </c>
      <c r="H512" s="2">
        <v>15000</v>
      </c>
      <c r="I512" s="61">
        <f t="shared" si="7"/>
        <v>68673</v>
      </c>
      <c r="J512" s="8" t="s">
        <v>64</v>
      </c>
      <c r="K512" s="9"/>
      <c r="L512" s="10">
        <v>68673</v>
      </c>
      <c r="M512" s="11">
        <v>314398.72859999997</v>
      </c>
      <c r="N512" s="6"/>
      <c r="O512" s="12"/>
      <c r="P512" s="6">
        <v>5</v>
      </c>
      <c r="Q512" s="6" t="s">
        <v>487</v>
      </c>
      <c r="R512" s="53" t="s">
        <v>1735</v>
      </c>
    </row>
    <row r="513" spans="1:18" x14ac:dyDescent="0.25">
      <c r="A513" s="2"/>
      <c r="B513" s="16" t="s">
        <v>935</v>
      </c>
      <c r="C513" s="50" t="s">
        <v>722</v>
      </c>
      <c r="D513" s="55">
        <v>45068</v>
      </c>
      <c r="E513" s="17" t="s">
        <v>936</v>
      </c>
      <c r="F513" s="6"/>
      <c r="G513" s="33"/>
      <c r="H513" s="2">
        <v>7501</v>
      </c>
      <c r="I513" s="61">
        <f t="shared" si="7"/>
        <v>0</v>
      </c>
      <c r="J513" s="8" t="s">
        <v>77</v>
      </c>
      <c r="K513" s="9"/>
      <c r="L513" s="29">
        <v>0</v>
      </c>
      <c r="M513" s="11">
        <v>0</v>
      </c>
      <c r="N513" s="35"/>
      <c r="O513" s="12"/>
      <c r="P513" s="6">
        <v>5</v>
      </c>
      <c r="Q513" s="6" t="s">
        <v>487</v>
      </c>
      <c r="R513" s="53" t="s">
        <v>1735</v>
      </c>
    </row>
    <row r="514" spans="1:18" x14ac:dyDescent="0.25">
      <c r="A514" s="2"/>
      <c r="B514" s="16" t="s">
        <v>937</v>
      </c>
      <c r="C514" s="50" t="s">
        <v>1711</v>
      </c>
      <c r="D514" s="55">
        <v>45068</v>
      </c>
      <c r="E514" s="17" t="s">
        <v>938</v>
      </c>
      <c r="F514" s="6"/>
      <c r="G514" s="33"/>
      <c r="H514" s="2">
        <v>55800</v>
      </c>
      <c r="I514" s="61">
        <f t="shared" si="7"/>
        <v>0</v>
      </c>
      <c r="J514" s="8" t="s">
        <v>64</v>
      </c>
      <c r="K514" s="9"/>
      <c r="L514" s="10">
        <v>55800</v>
      </c>
      <c r="M514" s="11">
        <v>0</v>
      </c>
      <c r="N514" s="6"/>
      <c r="O514" s="12"/>
      <c r="P514" s="6">
        <v>5</v>
      </c>
      <c r="Q514" s="6" t="s">
        <v>487</v>
      </c>
      <c r="R514" s="53" t="s">
        <v>1735</v>
      </c>
    </row>
    <row r="515" spans="1:18" x14ac:dyDescent="0.25">
      <c r="A515" s="2"/>
      <c r="B515" s="16" t="s">
        <v>939</v>
      </c>
      <c r="C515" s="50" t="s">
        <v>1712</v>
      </c>
      <c r="D515" s="55">
        <v>45068</v>
      </c>
      <c r="E515" s="17" t="s">
        <v>1797</v>
      </c>
      <c r="F515" s="6"/>
      <c r="G515" s="33"/>
      <c r="H515" s="2">
        <v>3000</v>
      </c>
      <c r="I515" s="61">
        <f t="shared" ref="I515:I578" si="8">IF(H515&lt;&gt;0, G515*H515, "")</f>
        <v>0</v>
      </c>
      <c r="J515" s="8" t="s">
        <v>69</v>
      </c>
      <c r="K515" s="9"/>
      <c r="L515" s="10">
        <v>1000</v>
      </c>
      <c r="M515" s="11">
        <v>0</v>
      </c>
      <c r="N515" s="6"/>
      <c r="O515" s="12"/>
      <c r="P515" s="6">
        <v>5</v>
      </c>
      <c r="Q515" s="6" t="s">
        <v>487</v>
      </c>
      <c r="R515" s="53" t="s">
        <v>1735</v>
      </c>
    </row>
    <row r="516" spans="1:18" x14ac:dyDescent="0.25">
      <c r="A516" s="2"/>
      <c r="B516" s="3" t="s">
        <v>940</v>
      </c>
      <c r="C516" s="46" t="s">
        <v>1712</v>
      </c>
      <c r="D516" s="55">
        <v>45068</v>
      </c>
      <c r="E516" s="5" t="s">
        <v>941</v>
      </c>
      <c r="F516" s="6"/>
      <c r="G516" s="33"/>
      <c r="H516" s="2">
        <v>0</v>
      </c>
      <c r="I516" s="61" t="str">
        <f t="shared" si="8"/>
        <v/>
      </c>
      <c r="J516" s="8" t="s">
        <v>69</v>
      </c>
      <c r="K516" s="9"/>
      <c r="L516" s="10">
        <v>8700</v>
      </c>
      <c r="M516" s="11">
        <v>30000</v>
      </c>
      <c r="N516" s="6"/>
      <c r="O516" s="12"/>
      <c r="P516" s="6">
        <v>5</v>
      </c>
      <c r="Q516" s="6" t="s">
        <v>487</v>
      </c>
      <c r="R516" s="53" t="s">
        <v>1735</v>
      </c>
    </row>
    <row r="517" spans="1:18" x14ac:dyDescent="0.25">
      <c r="A517" s="2"/>
      <c r="B517" s="16" t="s">
        <v>942</v>
      </c>
      <c r="C517" s="50" t="s">
        <v>1711</v>
      </c>
      <c r="D517" s="55">
        <v>45068</v>
      </c>
      <c r="E517" s="17" t="s">
        <v>943</v>
      </c>
      <c r="F517" s="6"/>
      <c r="G517" s="33"/>
      <c r="H517" s="2">
        <v>1500</v>
      </c>
      <c r="I517" s="61">
        <f t="shared" si="8"/>
        <v>0</v>
      </c>
      <c r="J517" s="8" t="s">
        <v>64</v>
      </c>
      <c r="K517" s="9"/>
      <c r="L517" s="10"/>
      <c r="M517" s="11">
        <v>0</v>
      </c>
      <c r="N517" s="6"/>
      <c r="O517" s="12"/>
      <c r="P517" s="6">
        <v>5</v>
      </c>
      <c r="Q517" s="6" t="s">
        <v>487</v>
      </c>
      <c r="R517" s="53" t="s">
        <v>1735</v>
      </c>
    </row>
    <row r="518" spans="1:18" x14ac:dyDescent="0.25">
      <c r="A518" s="2"/>
      <c r="B518" s="16" t="s">
        <v>944</v>
      </c>
      <c r="C518" s="50" t="s">
        <v>1711</v>
      </c>
      <c r="D518" s="55">
        <v>45068</v>
      </c>
      <c r="E518" s="17" t="s">
        <v>945</v>
      </c>
      <c r="F518" s="6"/>
      <c r="G518" s="33"/>
      <c r="H518" s="2">
        <v>50001</v>
      </c>
      <c r="I518" s="61">
        <f t="shared" si="8"/>
        <v>0</v>
      </c>
      <c r="J518" s="8" t="s">
        <v>64</v>
      </c>
      <c r="K518" s="9"/>
      <c r="L518" s="10">
        <v>50001</v>
      </c>
      <c r="M518" s="11">
        <v>0</v>
      </c>
      <c r="N518" s="6"/>
      <c r="O518" s="12"/>
      <c r="P518" s="6">
        <v>5</v>
      </c>
      <c r="Q518" s="6" t="s">
        <v>487</v>
      </c>
      <c r="R518" s="53" t="s">
        <v>1735</v>
      </c>
    </row>
    <row r="519" spans="1:18" x14ac:dyDescent="0.25">
      <c r="A519" s="2"/>
      <c r="B519" s="16" t="s">
        <v>946</v>
      </c>
      <c r="C519" s="50" t="s">
        <v>1712</v>
      </c>
      <c r="D519" s="55">
        <v>45068</v>
      </c>
      <c r="E519" s="17" t="s">
        <v>1798</v>
      </c>
      <c r="F519" s="6"/>
      <c r="G519" s="33"/>
      <c r="H519" s="2">
        <v>10000</v>
      </c>
      <c r="I519" s="61">
        <f t="shared" si="8"/>
        <v>0</v>
      </c>
      <c r="J519" s="8" t="s">
        <v>69</v>
      </c>
      <c r="K519" s="9"/>
      <c r="L519" s="10">
        <v>5000</v>
      </c>
      <c r="M519" s="11">
        <v>0</v>
      </c>
      <c r="N519" s="6"/>
      <c r="O519" s="12"/>
      <c r="P519" s="6">
        <v>5</v>
      </c>
      <c r="Q519" s="6" t="s">
        <v>487</v>
      </c>
      <c r="R519" s="53" t="s">
        <v>1735</v>
      </c>
    </row>
    <row r="520" spans="1:18" x14ac:dyDescent="0.25">
      <c r="A520" s="2"/>
      <c r="B520" s="3" t="s">
        <v>947</v>
      </c>
      <c r="C520" s="46" t="s">
        <v>1711</v>
      </c>
      <c r="D520" s="55">
        <v>45068</v>
      </c>
      <c r="E520" s="5" t="s">
        <v>948</v>
      </c>
      <c r="F520" s="6"/>
      <c r="G520" s="33"/>
      <c r="H520" s="2">
        <v>73000</v>
      </c>
      <c r="I520" s="61">
        <f t="shared" si="8"/>
        <v>0</v>
      </c>
      <c r="J520" s="8" t="s">
        <v>64</v>
      </c>
      <c r="K520" s="9"/>
      <c r="L520" s="10">
        <v>73000</v>
      </c>
      <c r="M520" s="11">
        <v>0</v>
      </c>
      <c r="N520" s="6"/>
      <c r="O520" s="12"/>
      <c r="P520" s="6">
        <v>5</v>
      </c>
      <c r="Q520" s="6" t="s">
        <v>487</v>
      </c>
      <c r="R520" s="53" t="s">
        <v>1735</v>
      </c>
    </row>
    <row r="521" spans="1:18" x14ac:dyDescent="0.25">
      <c r="A521" s="2"/>
      <c r="B521" s="16" t="s">
        <v>949</v>
      </c>
      <c r="C521" s="50" t="s">
        <v>1712</v>
      </c>
      <c r="D521" s="55">
        <v>45068</v>
      </c>
      <c r="E521" s="17" t="s">
        <v>950</v>
      </c>
      <c r="F521" s="6"/>
      <c r="G521" s="33"/>
      <c r="H521" s="2">
        <v>12000</v>
      </c>
      <c r="I521" s="61">
        <f t="shared" si="8"/>
        <v>0</v>
      </c>
      <c r="J521" s="8" t="s">
        <v>69</v>
      </c>
      <c r="K521" s="9"/>
      <c r="L521" s="10">
        <v>3500</v>
      </c>
      <c r="M521" s="11">
        <v>0</v>
      </c>
      <c r="N521" s="6"/>
      <c r="O521" s="12"/>
      <c r="P521" s="6">
        <v>5</v>
      </c>
      <c r="Q521" s="6" t="s">
        <v>487</v>
      </c>
      <c r="R521" s="53" t="s">
        <v>1735</v>
      </c>
    </row>
    <row r="522" spans="1:18" ht="25.5" x14ac:dyDescent="0.25">
      <c r="A522" s="2"/>
      <c r="B522" s="16" t="s">
        <v>951</v>
      </c>
      <c r="C522" s="24" t="s">
        <v>72</v>
      </c>
      <c r="D522" s="55">
        <v>45068</v>
      </c>
      <c r="E522" s="17" t="s">
        <v>1799</v>
      </c>
      <c r="F522" s="6"/>
      <c r="G522" s="33"/>
      <c r="H522" s="2">
        <v>1170000</v>
      </c>
      <c r="I522" s="61">
        <f t="shared" si="8"/>
        <v>0</v>
      </c>
      <c r="J522" s="8" t="s">
        <v>555</v>
      </c>
      <c r="K522" s="9"/>
      <c r="L522" s="10"/>
      <c r="M522" s="11">
        <v>0</v>
      </c>
      <c r="N522" s="6"/>
      <c r="O522" s="12"/>
      <c r="P522" s="6">
        <v>5</v>
      </c>
      <c r="Q522" s="6" t="s">
        <v>487</v>
      </c>
      <c r="R522" s="53" t="s">
        <v>1735</v>
      </c>
    </row>
    <row r="523" spans="1:18" x14ac:dyDescent="0.25">
      <c r="A523" s="2"/>
      <c r="B523" s="16" t="s">
        <v>952</v>
      </c>
      <c r="C523" s="50" t="s">
        <v>1711</v>
      </c>
      <c r="D523" s="55">
        <v>45068</v>
      </c>
      <c r="E523" s="17" t="s">
        <v>1800</v>
      </c>
      <c r="F523" s="6"/>
      <c r="G523" s="33"/>
      <c r="H523" s="2">
        <v>15000</v>
      </c>
      <c r="I523" s="61">
        <f t="shared" si="8"/>
        <v>0</v>
      </c>
      <c r="J523" s="8" t="s">
        <v>64</v>
      </c>
      <c r="K523" s="9"/>
      <c r="L523" s="10">
        <v>15000</v>
      </c>
      <c r="M523" s="11">
        <v>0</v>
      </c>
      <c r="N523" s="6"/>
      <c r="O523" s="12"/>
      <c r="P523" s="6">
        <v>5</v>
      </c>
      <c r="Q523" s="6" t="s">
        <v>487</v>
      </c>
      <c r="R523" s="53" t="s">
        <v>1735</v>
      </c>
    </row>
    <row r="524" spans="1:18" x14ac:dyDescent="0.25">
      <c r="A524" s="2"/>
      <c r="B524" s="3" t="s">
        <v>953</v>
      </c>
      <c r="C524" s="46" t="s">
        <v>1711</v>
      </c>
      <c r="D524" s="55">
        <v>45068</v>
      </c>
      <c r="E524" s="5" t="s">
        <v>954</v>
      </c>
      <c r="F524" s="6"/>
      <c r="G524" s="7">
        <v>4.5781999999999998</v>
      </c>
      <c r="H524" s="2">
        <v>51000</v>
      </c>
      <c r="I524" s="61">
        <f t="shared" si="8"/>
        <v>233488.19999999998</v>
      </c>
      <c r="J524" s="8" t="s">
        <v>64</v>
      </c>
      <c r="K524" s="9"/>
      <c r="L524" s="10">
        <v>51000</v>
      </c>
      <c r="M524" s="11">
        <v>233488.2</v>
      </c>
      <c r="N524" s="6"/>
      <c r="O524" s="12"/>
      <c r="P524" s="6">
        <v>5</v>
      </c>
      <c r="Q524" s="6" t="s">
        <v>487</v>
      </c>
      <c r="R524" s="53" t="s">
        <v>1735</v>
      </c>
    </row>
    <row r="525" spans="1:18" x14ac:dyDescent="0.25">
      <c r="A525" s="2"/>
      <c r="B525" s="3" t="s">
        <v>955</v>
      </c>
      <c r="C525" s="46" t="s">
        <v>1711</v>
      </c>
      <c r="D525" s="55">
        <v>45068</v>
      </c>
      <c r="E525" s="5" t="s">
        <v>956</v>
      </c>
      <c r="F525" s="6"/>
      <c r="G525" s="7">
        <v>4.5781999999999998</v>
      </c>
      <c r="H525" s="2">
        <v>35000</v>
      </c>
      <c r="I525" s="61">
        <f t="shared" si="8"/>
        <v>160237</v>
      </c>
      <c r="J525" s="8" t="s">
        <v>64</v>
      </c>
      <c r="K525" s="9"/>
      <c r="L525" s="10">
        <v>35000</v>
      </c>
      <c r="M525" s="11">
        <v>160237</v>
      </c>
      <c r="N525" s="6"/>
      <c r="O525" s="12"/>
      <c r="P525" s="6">
        <v>5</v>
      </c>
      <c r="Q525" s="6" t="s">
        <v>487</v>
      </c>
      <c r="R525" s="53" t="s">
        <v>1735</v>
      </c>
    </row>
    <row r="526" spans="1:18" x14ac:dyDescent="0.25">
      <c r="A526" s="2"/>
      <c r="B526" s="16" t="s">
        <v>957</v>
      </c>
      <c r="C526" s="50" t="s">
        <v>1712</v>
      </c>
      <c r="D526" s="55">
        <v>45068</v>
      </c>
      <c r="E526" s="17" t="s">
        <v>958</v>
      </c>
      <c r="F526" s="6"/>
      <c r="G526" s="33"/>
      <c r="H526" s="2">
        <v>50000</v>
      </c>
      <c r="I526" s="61">
        <f t="shared" si="8"/>
        <v>0</v>
      </c>
      <c r="J526" s="8" t="s">
        <v>69</v>
      </c>
      <c r="K526" s="9"/>
      <c r="L526" s="10">
        <v>10000</v>
      </c>
      <c r="M526" s="11">
        <v>0</v>
      </c>
      <c r="N526" s="6"/>
      <c r="O526" s="12"/>
      <c r="P526" s="6">
        <v>5</v>
      </c>
      <c r="Q526" s="6" t="s">
        <v>487</v>
      </c>
      <c r="R526" s="53" t="s">
        <v>1735</v>
      </c>
    </row>
    <row r="527" spans="1:18" ht="25.5" x14ac:dyDescent="0.25">
      <c r="A527" s="2"/>
      <c r="B527" s="16" t="s">
        <v>959</v>
      </c>
      <c r="C527" s="24" t="s">
        <v>72</v>
      </c>
      <c r="D527" s="55">
        <v>45068</v>
      </c>
      <c r="E527" s="17" t="s">
        <v>960</v>
      </c>
      <c r="F527" s="6"/>
      <c r="G527" s="33"/>
      <c r="H527" s="2">
        <v>95000</v>
      </c>
      <c r="I527" s="61">
        <f t="shared" si="8"/>
        <v>0</v>
      </c>
      <c r="J527" s="8" t="s">
        <v>563</v>
      </c>
      <c r="K527" s="9"/>
      <c r="L527" s="10"/>
      <c r="M527" s="11">
        <v>0</v>
      </c>
      <c r="N527" s="6"/>
      <c r="O527" s="12"/>
      <c r="P527" s="6">
        <v>5</v>
      </c>
      <c r="Q527" s="6" t="s">
        <v>487</v>
      </c>
      <c r="R527" s="53" t="s">
        <v>1735</v>
      </c>
    </row>
    <row r="528" spans="1:18" ht="25.5" x14ac:dyDescent="0.25">
      <c r="A528" s="2"/>
      <c r="B528" s="16" t="s">
        <v>961</v>
      </c>
      <c r="C528" s="24" t="s">
        <v>72</v>
      </c>
      <c r="D528" s="55">
        <v>45068</v>
      </c>
      <c r="E528" s="17" t="s">
        <v>960</v>
      </c>
      <c r="F528" s="6"/>
      <c r="G528" s="33"/>
      <c r="H528" s="2">
        <v>3000</v>
      </c>
      <c r="I528" s="61">
        <f t="shared" si="8"/>
        <v>0</v>
      </c>
      <c r="J528" s="8" t="s">
        <v>563</v>
      </c>
      <c r="K528" s="9"/>
      <c r="L528" s="10"/>
      <c r="M528" s="11">
        <v>0</v>
      </c>
      <c r="N528" s="6"/>
      <c r="O528" s="12"/>
      <c r="P528" s="6">
        <v>5</v>
      </c>
      <c r="Q528" s="6" t="s">
        <v>487</v>
      </c>
      <c r="R528" s="53" t="s">
        <v>1735</v>
      </c>
    </row>
    <row r="529" spans="1:18" x14ac:dyDescent="0.25">
      <c r="A529" s="2"/>
      <c r="B529" s="3" t="s">
        <v>962</v>
      </c>
      <c r="C529" s="46" t="s">
        <v>1711</v>
      </c>
      <c r="D529" s="55">
        <v>45068</v>
      </c>
      <c r="E529" s="5" t="s">
        <v>1801</v>
      </c>
      <c r="F529" s="6"/>
      <c r="G529" s="7">
        <v>4.5781999999999998</v>
      </c>
      <c r="H529" s="2">
        <v>50000</v>
      </c>
      <c r="I529" s="61">
        <f t="shared" si="8"/>
        <v>228910</v>
      </c>
      <c r="J529" s="8" t="s">
        <v>64</v>
      </c>
      <c r="K529" s="9"/>
      <c r="L529" s="10">
        <v>228910</v>
      </c>
      <c r="M529" s="11">
        <v>1047995.762</v>
      </c>
      <c r="N529" s="6"/>
      <c r="O529" s="12"/>
      <c r="P529" s="6">
        <v>5</v>
      </c>
      <c r="Q529" s="6" t="s">
        <v>487</v>
      </c>
      <c r="R529" s="53" t="s">
        <v>1735</v>
      </c>
    </row>
    <row r="530" spans="1:18" x14ac:dyDescent="0.25">
      <c r="A530" s="2"/>
      <c r="B530" s="16" t="s">
        <v>963</v>
      </c>
      <c r="C530" s="50" t="s">
        <v>1712</v>
      </c>
      <c r="D530" s="55">
        <v>45068</v>
      </c>
      <c r="E530" s="17" t="s">
        <v>964</v>
      </c>
      <c r="F530" s="6"/>
      <c r="G530" s="33"/>
      <c r="H530" s="2">
        <v>7501</v>
      </c>
      <c r="I530" s="61">
        <f t="shared" si="8"/>
        <v>0</v>
      </c>
      <c r="J530" s="8" t="s">
        <v>69</v>
      </c>
      <c r="K530" s="9"/>
      <c r="L530" s="10">
        <v>2000</v>
      </c>
      <c r="M530" s="11">
        <v>0</v>
      </c>
      <c r="N530" s="6"/>
      <c r="O530" s="12"/>
      <c r="P530" s="6">
        <v>5</v>
      </c>
      <c r="Q530" s="6" t="s">
        <v>487</v>
      </c>
      <c r="R530" s="53" t="s">
        <v>1735</v>
      </c>
    </row>
    <row r="531" spans="1:18" x14ac:dyDescent="0.25">
      <c r="A531" s="2"/>
      <c r="B531" s="3" t="s">
        <v>965</v>
      </c>
      <c r="C531" s="46" t="s">
        <v>1712</v>
      </c>
      <c r="D531" s="55">
        <v>45068</v>
      </c>
      <c r="E531" s="5" t="s">
        <v>966</v>
      </c>
      <c r="F531" s="6"/>
      <c r="G531" s="7">
        <v>4.5781999999999998</v>
      </c>
      <c r="H531" s="2">
        <v>20000</v>
      </c>
      <c r="I531" s="61">
        <f t="shared" si="8"/>
        <v>91564</v>
      </c>
      <c r="J531" s="8" t="s">
        <v>69</v>
      </c>
      <c r="K531" s="9"/>
      <c r="L531" s="10">
        <v>6867.3</v>
      </c>
      <c r="M531" s="11">
        <v>31439.872859999999</v>
      </c>
      <c r="N531" s="6"/>
      <c r="O531" s="12"/>
      <c r="P531" s="6">
        <v>5</v>
      </c>
      <c r="Q531" s="6" t="s">
        <v>487</v>
      </c>
      <c r="R531" s="53" t="s">
        <v>1735</v>
      </c>
    </row>
    <row r="532" spans="1:18" x14ac:dyDescent="0.25">
      <c r="A532" s="2"/>
      <c r="B532" s="16" t="s">
        <v>967</v>
      </c>
      <c r="C532" s="50" t="s">
        <v>1712</v>
      </c>
      <c r="D532" s="55">
        <v>45068</v>
      </c>
      <c r="E532" s="17" t="s">
        <v>968</v>
      </c>
      <c r="F532" s="6"/>
      <c r="G532" s="33"/>
      <c r="H532" s="2">
        <v>60000</v>
      </c>
      <c r="I532" s="61">
        <f t="shared" si="8"/>
        <v>0</v>
      </c>
      <c r="J532" s="8" t="s">
        <v>69</v>
      </c>
      <c r="K532" s="9"/>
      <c r="L532" s="10">
        <v>3000</v>
      </c>
      <c r="M532" s="11">
        <v>0</v>
      </c>
      <c r="N532" s="6"/>
      <c r="O532" s="12"/>
      <c r="P532" s="6">
        <v>5</v>
      </c>
      <c r="Q532" s="6" t="s">
        <v>487</v>
      </c>
      <c r="R532" s="53" t="s">
        <v>1735</v>
      </c>
    </row>
    <row r="533" spans="1:18" x14ac:dyDescent="0.25">
      <c r="A533" s="2"/>
      <c r="B533" s="16" t="s">
        <v>969</v>
      </c>
      <c r="C533" s="50" t="s">
        <v>1712</v>
      </c>
      <c r="D533" s="55">
        <v>45068</v>
      </c>
      <c r="E533" s="17" t="s">
        <v>970</v>
      </c>
      <c r="F533" s="6"/>
      <c r="G533" s="33"/>
      <c r="H533" s="2">
        <v>7000</v>
      </c>
      <c r="I533" s="61">
        <f t="shared" si="8"/>
        <v>0</v>
      </c>
      <c r="J533" s="8" t="s">
        <v>69</v>
      </c>
      <c r="K533" s="9"/>
      <c r="L533" s="10">
        <v>250</v>
      </c>
      <c r="M533" s="11">
        <v>0</v>
      </c>
      <c r="N533" s="6"/>
      <c r="O533" s="12"/>
      <c r="P533" s="6">
        <v>5</v>
      </c>
      <c r="Q533" s="6" t="s">
        <v>487</v>
      </c>
      <c r="R533" s="53" t="s">
        <v>1735</v>
      </c>
    </row>
    <row r="534" spans="1:18" x14ac:dyDescent="0.25">
      <c r="A534" s="2"/>
      <c r="B534" s="16" t="s">
        <v>971</v>
      </c>
      <c r="C534" s="50" t="s">
        <v>1712</v>
      </c>
      <c r="D534" s="55">
        <v>45068</v>
      </c>
      <c r="E534" s="17" t="s">
        <v>972</v>
      </c>
      <c r="F534" s="6"/>
      <c r="G534" s="33"/>
      <c r="H534" s="2">
        <v>50000</v>
      </c>
      <c r="I534" s="61">
        <f t="shared" si="8"/>
        <v>0</v>
      </c>
      <c r="J534" s="8" t="s">
        <v>69</v>
      </c>
      <c r="K534" s="9"/>
      <c r="L534" s="10">
        <v>7000</v>
      </c>
      <c r="M534" s="11">
        <v>0</v>
      </c>
      <c r="N534" s="6"/>
      <c r="O534" s="12"/>
      <c r="P534" s="6">
        <v>5</v>
      </c>
      <c r="Q534" s="6" t="s">
        <v>487</v>
      </c>
      <c r="R534" s="53" t="s">
        <v>1735</v>
      </c>
    </row>
    <row r="535" spans="1:18" x14ac:dyDescent="0.25">
      <c r="A535" s="2"/>
      <c r="B535" s="16" t="s">
        <v>973</v>
      </c>
      <c r="C535" s="50" t="s">
        <v>1711</v>
      </c>
      <c r="D535" s="55">
        <v>45068</v>
      </c>
      <c r="E535" s="17" t="s">
        <v>974</v>
      </c>
      <c r="F535" s="6"/>
      <c r="G535" s="33"/>
      <c r="H535" s="2">
        <v>22000</v>
      </c>
      <c r="I535" s="61">
        <f t="shared" si="8"/>
        <v>0</v>
      </c>
      <c r="J535" s="8" t="s">
        <v>64</v>
      </c>
      <c r="K535" s="9"/>
      <c r="L535" s="10">
        <v>22000</v>
      </c>
      <c r="M535" s="11">
        <v>0</v>
      </c>
      <c r="N535" s="6"/>
      <c r="O535" s="12"/>
      <c r="P535" s="6">
        <v>5</v>
      </c>
      <c r="Q535" s="6" t="s">
        <v>487</v>
      </c>
      <c r="R535" s="53" t="s">
        <v>1735</v>
      </c>
    </row>
    <row r="536" spans="1:18" x14ac:dyDescent="0.25">
      <c r="A536" s="2"/>
      <c r="B536" s="16" t="s">
        <v>975</v>
      </c>
      <c r="C536" s="50" t="s">
        <v>722</v>
      </c>
      <c r="D536" s="55">
        <v>45068</v>
      </c>
      <c r="E536" s="17" t="s">
        <v>976</v>
      </c>
      <c r="F536" s="6"/>
      <c r="G536" s="33"/>
      <c r="H536" s="2">
        <v>7501</v>
      </c>
      <c r="I536" s="61">
        <f t="shared" si="8"/>
        <v>0</v>
      </c>
      <c r="J536" s="8" t="s">
        <v>77</v>
      </c>
      <c r="K536" s="9"/>
      <c r="L536" s="29">
        <v>0</v>
      </c>
      <c r="M536" s="11">
        <v>0</v>
      </c>
      <c r="N536" s="35"/>
      <c r="O536" s="12"/>
      <c r="P536" s="6">
        <v>5</v>
      </c>
      <c r="Q536" s="6" t="s">
        <v>487</v>
      </c>
      <c r="R536" s="53" t="s">
        <v>1735</v>
      </c>
    </row>
    <row r="537" spans="1:18" x14ac:dyDescent="0.25">
      <c r="A537" s="2"/>
      <c r="B537" s="16" t="s">
        <v>977</v>
      </c>
      <c r="C537" s="50" t="s">
        <v>1712</v>
      </c>
      <c r="D537" s="55">
        <v>45068</v>
      </c>
      <c r="E537" s="17" t="s">
        <v>978</v>
      </c>
      <c r="F537" s="6"/>
      <c r="G537" s="33"/>
      <c r="H537" s="2">
        <v>7500</v>
      </c>
      <c r="I537" s="61">
        <f t="shared" si="8"/>
        <v>0</v>
      </c>
      <c r="J537" s="8" t="s">
        <v>69</v>
      </c>
      <c r="K537" s="9"/>
      <c r="L537" s="10">
        <v>7500</v>
      </c>
      <c r="M537" s="11">
        <v>0</v>
      </c>
      <c r="N537" s="6"/>
      <c r="O537" s="12"/>
      <c r="P537" s="6">
        <v>5</v>
      </c>
      <c r="Q537" s="6" t="s">
        <v>487</v>
      </c>
      <c r="R537" s="53" t="s">
        <v>1735</v>
      </c>
    </row>
    <row r="538" spans="1:18" x14ac:dyDescent="0.25">
      <c r="A538" s="2"/>
      <c r="B538" s="16" t="s">
        <v>979</v>
      </c>
      <c r="C538" s="50" t="s">
        <v>1711</v>
      </c>
      <c r="D538" s="55">
        <v>45068</v>
      </c>
      <c r="E538" s="17" t="s">
        <v>980</v>
      </c>
      <c r="F538" s="6"/>
      <c r="G538" s="33"/>
      <c r="H538" s="2">
        <v>2000</v>
      </c>
      <c r="I538" s="61">
        <f t="shared" si="8"/>
        <v>0</v>
      </c>
      <c r="J538" s="8" t="s">
        <v>64</v>
      </c>
      <c r="K538" s="9"/>
      <c r="L538" s="10">
        <v>2000</v>
      </c>
      <c r="M538" s="11">
        <v>0</v>
      </c>
      <c r="N538" s="6"/>
      <c r="O538" s="12"/>
      <c r="P538" s="6">
        <v>5</v>
      </c>
      <c r="Q538" s="6" t="s">
        <v>487</v>
      </c>
      <c r="R538" s="53" t="s">
        <v>1735</v>
      </c>
    </row>
    <row r="539" spans="1:18" x14ac:dyDescent="0.25">
      <c r="A539" s="2"/>
      <c r="B539" s="16" t="s">
        <v>981</v>
      </c>
      <c r="C539" s="50" t="s">
        <v>1712</v>
      </c>
      <c r="D539" s="55">
        <v>45068</v>
      </c>
      <c r="E539" s="17" t="s">
        <v>1802</v>
      </c>
      <c r="F539" s="6"/>
      <c r="G539" s="33"/>
      <c r="H539" s="2">
        <v>50000</v>
      </c>
      <c r="I539" s="61">
        <f t="shared" si="8"/>
        <v>0</v>
      </c>
      <c r="J539" s="8" t="s">
        <v>69</v>
      </c>
      <c r="K539" s="9"/>
      <c r="L539" s="10">
        <v>20969.09</v>
      </c>
      <c r="M539" s="11">
        <v>0</v>
      </c>
      <c r="N539" s="6"/>
      <c r="O539" s="12"/>
      <c r="P539" s="6">
        <v>5</v>
      </c>
      <c r="Q539" s="6" t="s">
        <v>487</v>
      </c>
      <c r="R539" s="53" t="s">
        <v>1735</v>
      </c>
    </row>
    <row r="540" spans="1:18" ht="25.5" x14ac:dyDescent="0.25">
      <c r="A540" s="2"/>
      <c r="B540" s="16" t="s">
        <v>982</v>
      </c>
      <c r="C540" s="24" t="s">
        <v>72</v>
      </c>
      <c r="D540" s="55">
        <v>45068</v>
      </c>
      <c r="E540" s="17" t="s">
        <v>983</v>
      </c>
      <c r="F540" s="6"/>
      <c r="G540" s="33"/>
      <c r="H540" s="2">
        <v>50000</v>
      </c>
      <c r="I540" s="61">
        <f t="shared" si="8"/>
        <v>0</v>
      </c>
      <c r="J540" s="8" t="s">
        <v>922</v>
      </c>
      <c r="K540" s="9"/>
      <c r="L540" s="10"/>
      <c r="M540" s="11">
        <v>0</v>
      </c>
      <c r="N540" s="6"/>
      <c r="O540" s="12"/>
      <c r="P540" s="6">
        <v>5</v>
      </c>
      <c r="Q540" s="6" t="s">
        <v>487</v>
      </c>
      <c r="R540" s="53" t="s">
        <v>1735</v>
      </c>
    </row>
    <row r="541" spans="1:18" ht="25.5" x14ac:dyDescent="0.25">
      <c r="A541" s="2"/>
      <c r="B541" s="16" t="s">
        <v>984</v>
      </c>
      <c r="C541" s="24" t="s">
        <v>72</v>
      </c>
      <c r="D541" s="55">
        <v>45068</v>
      </c>
      <c r="E541" s="17" t="s">
        <v>983</v>
      </c>
      <c r="F541" s="6"/>
      <c r="G541" s="33"/>
      <c r="H541" s="2">
        <v>40000</v>
      </c>
      <c r="I541" s="61">
        <f t="shared" si="8"/>
        <v>0</v>
      </c>
      <c r="J541" s="8" t="s">
        <v>922</v>
      </c>
      <c r="K541" s="9"/>
      <c r="L541" s="10"/>
      <c r="M541" s="11">
        <v>0</v>
      </c>
      <c r="N541" s="6"/>
      <c r="O541" s="12"/>
      <c r="P541" s="6">
        <v>5</v>
      </c>
      <c r="Q541" s="6" t="s">
        <v>487</v>
      </c>
      <c r="R541" s="53" t="s">
        <v>1735</v>
      </c>
    </row>
    <row r="542" spans="1:18" ht="25.5" x14ac:dyDescent="0.25">
      <c r="A542" s="2"/>
      <c r="B542" s="16" t="s">
        <v>985</v>
      </c>
      <c r="C542" s="24" t="s">
        <v>72</v>
      </c>
      <c r="D542" s="55">
        <v>45068</v>
      </c>
      <c r="E542" s="17" t="s">
        <v>983</v>
      </c>
      <c r="F542" s="6"/>
      <c r="G542" s="33"/>
      <c r="H542" s="2">
        <v>30000</v>
      </c>
      <c r="I542" s="61">
        <f t="shared" si="8"/>
        <v>0</v>
      </c>
      <c r="J542" s="8" t="s">
        <v>922</v>
      </c>
      <c r="K542" s="9"/>
      <c r="L542" s="10"/>
      <c r="M542" s="11">
        <v>0</v>
      </c>
      <c r="N542" s="6"/>
      <c r="O542" s="12"/>
      <c r="P542" s="6">
        <v>5</v>
      </c>
      <c r="Q542" s="6" t="s">
        <v>487</v>
      </c>
      <c r="R542" s="53" t="s">
        <v>1735</v>
      </c>
    </row>
    <row r="543" spans="1:18" x14ac:dyDescent="0.25">
      <c r="A543" s="2"/>
      <c r="B543" s="16" t="s">
        <v>986</v>
      </c>
      <c r="C543" s="50" t="s">
        <v>1712</v>
      </c>
      <c r="D543" s="55">
        <v>45068</v>
      </c>
      <c r="E543" s="17" t="s">
        <v>987</v>
      </c>
      <c r="F543" s="6"/>
      <c r="G543" s="33"/>
      <c r="H543" s="2">
        <v>50001</v>
      </c>
      <c r="I543" s="61">
        <f t="shared" si="8"/>
        <v>0</v>
      </c>
      <c r="J543" s="8" t="s">
        <v>69</v>
      </c>
      <c r="K543" s="9"/>
      <c r="L543" s="10">
        <v>5000</v>
      </c>
      <c r="M543" s="11">
        <v>0</v>
      </c>
      <c r="N543" s="6"/>
      <c r="O543" s="12"/>
      <c r="P543" s="6">
        <v>5</v>
      </c>
      <c r="Q543" s="6" t="s">
        <v>487</v>
      </c>
      <c r="R543" s="53" t="s">
        <v>1733</v>
      </c>
    </row>
    <row r="544" spans="1:18" ht="25.5" x14ac:dyDescent="0.25">
      <c r="A544" s="2"/>
      <c r="B544" s="16" t="s">
        <v>988</v>
      </c>
      <c r="C544" s="24" t="s">
        <v>72</v>
      </c>
      <c r="D544" s="55">
        <v>45068</v>
      </c>
      <c r="E544" s="17" t="s">
        <v>989</v>
      </c>
      <c r="F544" s="6"/>
      <c r="G544" s="33"/>
      <c r="H544" s="2">
        <v>6000</v>
      </c>
      <c r="I544" s="61">
        <f t="shared" si="8"/>
        <v>0</v>
      </c>
      <c r="J544" s="8" t="s">
        <v>122</v>
      </c>
      <c r="K544" s="9"/>
      <c r="L544" s="10"/>
      <c r="M544" s="11">
        <v>0</v>
      </c>
      <c r="N544" s="6"/>
      <c r="O544" s="12"/>
      <c r="P544" s="6">
        <v>5</v>
      </c>
      <c r="Q544" s="6" t="s">
        <v>487</v>
      </c>
      <c r="R544" s="53" t="s">
        <v>1733</v>
      </c>
    </row>
    <row r="545" spans="1:18" x14ac:dyDescent="0.25">
      <c r="A545" s="2"/>
      <c r="B545" s="3" t="s">
        <v>990</v>
      </c>
      <c r="C545" s="46" t="s">
        <v>1712</v>
      </c>
      <c r="D545" s="55">
        <v>45068</v>
      </c>
      <c r="E545" s="5" t="s">
        <v>991</v>
      </c>
      <c r="F545" s="6"/>
      <c r="G545" s="7">
        <v>4.5781999999999998</v>
      </c>
      <c r="H545" s="2">
        <v>5000</v>
      </c>
      <c r="I545" s="61">
        <f t="shared" si="8"/>
        <v>22891</v>
      </c>
      <c r="J545" s="8" t="s">
        <v>69</v>
      </c>
      <c r="K545" s="9"/>
      <c r="L545" s="10">
        <v>4578.2</v>
      </c>
      <c r="M545" s="11">
        <v>20959.915239999998</v>
      </c>
      <c r="N545" s="6"/>
      <c r="O545" s="12"/>
      <c r="P545" s="6">
        <v>5</v>
      </c>
      <c r="Q545" s="6" t="s">
        <v>487</v>
      </c>
      <c r="R545" s="53" t="s">
        <v>1733</v>
      </c>
    </row>
    <row r="546" spans="1:18" x14ac:dyDescent="0.25">
      <c r="A546" s="2"/>
      <c r="B546" s="16" t="s">
        <v>992</v>
      </c>
      <c r="C546" s="50" t="s">
        <v>1712</v>
      </c>
      <c r="D546" s="55">
        <v>45068</v>
      </c>
      <c r="E546" s="17" t="s">
        <v>993</v>
      </c>
      <c r="F546" s="6"/>
      <c r="G546" s="33"/>
      <c r="H546" s="2">
        <v>50000</v>
      </c>
      <c r="I546" s="61">
        <f t="shared" si="8"/>
        <v>0</v>
      </c>
      <c r="J546" s="8" t="s">
        <v>69</v>
      </c>
      <c r="K546" s="9"/>
      <c r="L546" s="10">
        <v>5000</v>
      </c>
      <c r="M546" s="11">
        <v>0</v>
      </c>
      <c r="N546" s="6"/>
      <c r="O546" s="12"/>
      <c r="P546" s="6">
        <v>5</v>
      </c>
      <c r="Q546" s="6" t="s">
        <v>487</v>
      </c>
      <c r="R546" s="53" t="s">
        <v>1733</v>
      </c>
    </row>
    <row r="547" spans="1:18" x14ac:dyDescent="0.25">
      <c r="A547" s="2"/>
      <c r="B547" s="16" t="s">
        <v>994</v>
      </c>
      <c r="C547" s="50" t="s">
        <v>1711</v>
      </c>
      <c r="D547" s="55">
        <v>45068</v>
      </c>
      <c r="E547" s="17" t="s">
        <v>995</v>
      </c>
      <c r="F547" s="6"/>
      <c r="G547" s="33"/>
      <c r="H547" s="2">
        <v>10000</v>
      </c>
      <c r="I547" s="61">
        <f t="shared" si="8"/>
        <v>0</v>
      </c>
      <c r="J547" s="8" t="s">
        <v>64</v>
      </c>
      <c r="K547" s="9"/>
      <c r="L547" s="10">
        <v>10000</v>
      </c>
      <c r="M547" s="11">
        <v>0</v>
      </c>
      <c r="N547" s="6"/>
      <c r="O547" s="12"/>
      <c r="P547" s="6">
        <v>5</v>
      </c>
      <c r="Q547" s="6" t="s">
        <v>487</v>
      </c>
      <c r="R547" s="53" t="s">
        <v>1733</v>
      </c>
    </row>
    <row r="548" spans="1:18" x14ac:dyDescent="0.25">
      <c r="A548" s="2"/>
      <c r="B548" s="16" t="s">
        <v>996</v>
      </c>
      <c r="C548" s="50" t="s">
        <v>1711</v>
      </c>
      <c r="D548" s="55">
        <v>45068</v>
      </c>
      <c r="E548" s="17" t="s">
        <v>995</v>
      </c>
      <c r="F548" s="6"/>
      <c r="G548" s="33"/>
      <c r="H548" s="2">
        <v>10000</v>
      </c>
      <c r="I548" s="61">
        <f t="shared" si="8"/>
        <v>0</v>
      </c>
      <c r="J548" s="8" t="s">
        <v>64</v>
      </c>
      <c r="K548" s="9"/>
      <c r="L548" s="10">
        <v>10000</v>
      </c>
      <c r="M548" s="11">
        <v>0</v>
      </c>
      <c r="N548" s="6"/>
      <c r="O548" s="12"/>
      <c r="P548" s="6">
        <v>5</v>
      </c>
      <c r="Q548" s="6" t="s">
        <v>487</v>
      </c>
      <c r="R548" s="53" t="s">
        <v>1733</v>
      </c>
    </row>
    <row r="549" spans="1:18" x14ac:dyDescent="0.25">
      <c r="A549" s="2"/>
      <c r="B549" s="16" t="s">
        <v>997</v>
      </c>
      <c r="C549" s="50" t="s">
        <v>1712</v>
      </c>
      <c r="D549" s="55">
        <v>45068</v>
      </c>
      <c r="E549" s="17" t="s">
        <v>998</v>
      </c>
      <c r="F549" s="6"/>
      <c r="G549" s="33"/>
      <c r="H549" s="2">
        <v>2000</v>
      </c>
      <c r="I549" s="61">
        <f t="shared" si="8"/>
        <v>0</v>
      </c>
      <c r="J549" s="8" t="s">
        <v>69</v>
      </c>
      <c r="K549" s="9"/>
      <c r="L549" s="10">
        <v>500</v>
      </c>
      <c r="M549" s="11">
        <v>0</v>
      </c>
      <c r="N549" s="6"/>
      <c r="O549" s="12"/>
      <c r="P549" s="6">
        <v>5</v>
      </c>
      <c r="Q549" s="6" t="s">
        <v>487</v>
      </c>
      <c r="R549" s="53" t="s">
        <v>1733</v>
      </c>
    </row>
    <row r="550" spans="1:18" x14ac:dyDescent="0.25">
      <c r="A550" s="2"/>
      <c r="B550" s="16" t="s">
        <v>999</v>
      </c>
      <c r="C550" s="50" t="s">
        <v>1712</v>
      </c>
      <c r="D550" s="55">
        <v>45068</v>
      </c>
      <c r="E550" s="17" t="s">
        <v>1000</v>
      </c>
      <c r="F550" s="6"/>
      <c r="G550" s="33"/>
      <c r="H550" s="2">
        <v>7501</v>
      </c>
      <c r="I550" s="61">
        <f t="shared" si="8"/>
        <v>0</v>
      </c>
      <c r="J550" s="8" t="s">
        <v>69</v>
      </c>
      <c r="K550" s="9"/>
      <c r="L550" s="10">
        <v>4000</v>
      </c>
      <c r="M550" s="11">
        <v>0</v>
      </c>
      <c r="N550" s="6"/>
      <c r="O550" s="12"/>
      <c r="P550" s="6">
        <v>5</v>
      </c>
      <c r="Q550" s="6" t="s">
        <v>487</v>
      </c>
      <c r="R550" s="53" t="s">
        <v>1733</v>
      </c>
    </row>
    <row r="551" spans="1:18" x14ac:dyDescent="0.25">
      <c r="A551" s="2"/>
      <c r="B551" s="16" t="s">
        <v>1001</v>
      </c>
      <c r="C551" s="50" t="s">
        <v>1712</v>
      </c>
      <c r="D551" s="55">
        <v>45068</v>
      </c>
      <c r="E551" s="17" t="s">
        <v>806</v>
      </c>
      <c r="F551" s="6"/>
      <c r="G551" s="33"/>
      <c r="H551" s="2">
        <v>50001</v>
      </c>
      <c r="I551" s="61">
        <f t="shared" si="8"/>
        <v>0</v>
      </c>
      <c r="J551" s="8" t="s">
        <v>69</v>
      </c>
      <c r="K551" s="9"/>
      <c r="L551" s="10">
        <v>7500</v>
      </c>
      <c r="M551" s="11">
        <v>0</v>
      </c>
      <c r="N551" s="6"/>
      <c r="O551" s="12"/>
      <c r="P551" s="6">
        <v>5</v>
      </c>
      <c r="Q551" s="6" t="s">
        <v>487</v>
      </c>
      <c r="R551" s="53" t="s">
        <v>1733</v>
      </c>
    </row>
    <row r="552" spans="1:18" x14ac:dyDescent="0.25">
      <c r="A552" s="2"/>
      <c r="B552" s="16" t="s">
        <v>1002</v>
      </c>
      <c r="C552" s="50" t="s">
        <v>1711</v>
      </c>
      <c r="D552" s="55">
        <v>45068</v>
      </c>
      <c r="E552" s="17" t="s">
        <v>812</v>
      </c>
      <c r="F552" s="6"/>
      <c r="G552" s="33"/>
      <c r="H552" s="2">
        <v>50001</v>
      </c>
      <c r="I552" s="61">
        <f t="shared" si="8"/>
        <v>0</v>
      </c>
      <c r="J552" s="8" t="s">
        <v>64</v>
      </c>
      <c r="K552" s="9"/>
      <c r="L552" s="10">
        <v>50001</v>
      </c>
      <c r="M552" s="11">
        <v>0</v>
      </c>
      <c r="N552" s="6"/>
      <c r="O552" s="12"/>
      <c r="P552" s="6">
        <v>5</v>
      </c>
      <c r="Q552" s="6" t="s">
        <v>487</v>
      </c>
      <c r="R552" s="53" t="s">
        <v>1733</v>
      </c>
    </row>
    <row r="553" spans="1:18" x14ac:dyDescent="0.25">
      <c r="A553" s="2"/>
      <c r="B553" s="3" t="s">
        <v>1003</v>
      </c>
      <c r="C553" s="46" t="s">
        <v>1712</v>
      </c>
      <c r="D553" s="55">
        <v>45068</v>
      </c>
      <c r="E553" s="5" t="s">
        <v>1004</v>
      </c>
      <c r="F553" s="6"/>
      <c r="G553" s="33"/>
      <c r="H553" s="2">
        <v>500</v>
      </c>
      <c r="I553" s="61">
        <f t="shared" si="8"/>
        <v>0</v>
      </c>
      <c r="J553" s="8" t="s">
        <v>69</v>
      </c>
      <c r="K553" s="9"/>
      <c r="L553" s="10">
        <v>250</v>
      </c>
      <c r="M553" s="11">
        <v>0</v>
      </c>
      <c r="N553" s="6"/>
      <c r="O553" s="12"/>
      <c r="P553" s="6">
        <v>5</v>
      </c>
      <c r="Q553" s="6" t="s">
        <v>487</v>
      </c>
      <c r="R553" s="53" t="s">
        <v>1733</v>
      </c>
    </row>
    <row r="554" spans="1:18" ht="25.5" x14ac:dyDescent="0.25">
      <c r="A554" s="2"/>
      <c r="B554" s="16" t="s">
        <v>1005</v>
      </c>
      <c r="C554" s="24" t="s">
        <v>72</v>
      </c>
      <c r="D554" s="55">
        <v>45068</v>
      </c>
      <c r="E554" s="17" t="s">
        <v>1006</v>
      </c>
      <c r="F554" s="6"/>
      <c r="G554" s="33"/>
      <c r="H554" s="2">
        <v>50000</v>
      </c>
      <c r="I554" s="61">
        <f t="shared" si="8"/>
        <v>0</v>
      </c>
      <c r="J554" s="8" t="s">
        <v>563</v>
      </c>
      <c r="K554" s="9"/>
      <c r="L554" s="10"/>
      <c r="M554" s="11">
        <v>0</v>
      </c>
      <c r="N554" s="6"/>
      <c r="O554" s="12"/>
      <c r="P554" s="6">
        <v>5</v>
      </c>
      <c r="Q554" s="6" t="s">
        <v>487</v>
      </c>
      <c r="R554" s="53" t="s">
        <v>1733</v>
      </c>
    </row>
    <row r="555" spans="1:18" x14ac:dyDescent="0.25">
      <c r="A555" s="2"/>
      <c r="B555" s="3" t="s">
        <v>1007</v>
      </c>
      <c r="C555" s="46" t="s">
        <v>1711</v>
      </c>
      <c r="D555" s="55">
        <v>45068</v>
      </c>
      <c r="E555" s="5" t="s">
        <v>1803</v>
      </c>
      <c r="F555" s="6"/>
      <c r="G555" s="7">
        <v>4.5781999999999998</v>
      </c>
      <c r="H555" s="2">
        <v>50000</v>
      </c>
      <c r="I555" s="61">
        <f t="shared" si="8"/>
        <v>228910</v>
      </c>
      <c r="J555" s="8" t="s">
        <v>64</v>
      </c>
      <c r="K555" s="9"/>
      <c r="L555" s="10">
        <v>50000</v>
      </c>
      <c r="M555" s="11">
        <v>228910</v>
      </c>
      <c r="N555" s="6"/>
      <c r="O555" s="12"/>
      <c r="P555" s="6">
        <v>5</v>
      </c>
      <c r="Q555" s="6" t="s">
        <v>487</v>
      </c>
      <c r="R555" s="53" t="s">
        <v>1733</v>
      </c>
    </row>
    <row r="556" spans="1:18" x14ac:dyDescent="0.25">
      <c r="A556" s="2"/>
      <c r="B556" s="3" t="s">
        <v>1008</v>
      </c>
      <c r="C556" s="46" t="s">
        <v>1711</v>
      </c>
      <c r="D556" s="55">
        <v>45068</v>
      </c>
      <c r="E556" s="5" t="s">
        <v>583</v>
      </c>
      <c r="F556" s="6"/>
      <c r="G556" s="7">
        <v>4.5781999999999998</v>
      </c>
      <c r="H556" s="2">
        <v>250000</v>
      </c>
      <c r="I556" s="61">
        <f t="shared" si="8"/>
        <v>1144550</v>
      </c>
      <c r="J556" s="8" t="s">
        <v>64</v>
      </c>
      <c r="K556" s="9"/>
      <c r="L556" s="27">
        <v>1144550</v>
      </c>
      <c r="M556" s="11">
        <v>5239978.8099999996</v>
      </c>
      <c r="N556" s="6"/>
      <c r="O556" s="12"/>
      <c r="P556" s="6">
        <v>5</v>
      </c>
      <c r="Q556" s="6" t="s">
        <v>487</v>
      </c>
      <c r="R556" s="53" t="s">
        <v>1733</v>
      </c>
    </row>
    <row r="557" spans="1:18" x14ac:dyDescent="0.25">
      <c r="A557" s="2"/>
      <c r="B557" s="16" t="s">
        <v>1009</v>
      </c>
      <c r="C557" s="50" t="s">
        <v>1712</v>
      </c>
      <c r="D557" s="55">
        <v>45068</v>
      </c>
      <c r="E557" s="17" t="s">
        <v>1010</v>
      </c>
      <c r="F557" s="6"/>
      <c r="G557" s="33"/>
      <c r="H557" s="2">
        <v>100000</v>
      </c>
      <c r="I557" s="61">
        <f t="shared" si="8"/>
        <v>0</v>
      </c>
      <c r="J557" s="8" t="s">
        <v>69</v>
      </c>
      <c r="K557" s="9"/>
      <c r="L557" s="10">
        <v>7500</v>
      </c>
      <c r="M557" s="11">
        <v>0</v>
      </c>
      <c r="N557" s="6"/>
      <c r="O557" s="12"/>
      <c r="P557" s="6">
        <v>5</v>
      </c>
      <c r="Q557" s="6" t="s">
        <v>487</v>
      </c>
      <c r="R557" s="53" t="s">
        <v>1733</v>
      </c>
    </row>
    <row r="558" spans="1:18" x14ac:dyDescent="0.25">
      <c r="A558" s="2"/>
      <c r="B558" s="16" t="s">
        <v>1011</v>
      </c>
      <c r="C558" s="50" t="s">
        <v>1712</v>
      </c>
      <c r="D558" s="55">
        <v>45068</v>
      </c>
      <c r="E558" s="17" t="s">
        <v>826</v>
      </c>
      <c r="F558" s="6"/>
      <c r="G558" s="33"/>
      <c r="H558" s="2">
        <v>4000</v>
      </c>
      <c r="I558" s="61">
        <f t="shared" si="8"/>
        <v>0</v>
      </c>
      <c r="J558" s="8" t="s">
        <v>69</v>
      </c>
      <c r="K558" s="9"/>
      <c r="L558" s="10">
        <v>250</v>
      </c>
      <c r="M558" s="11">
        <v>0</v>
      </c>
      <c r="N558" s="6"/>
      <c r="O558" s="12"/>
      <c r="P558" s="6">
        <v>5</v>
      </c>
      <c r="Q558" s="6" t="s">
        <v>487</v>
      </c>
      <c r="R558" s="53" t="s">
        <v>1733</v>
      </c>
    </row>
    <row r="559" spans="1:18" x14ac:dyDescent="0.25">
      <c r="A559" s="2"/>
      <c r="B559" s="16" t="s">
        <v>1012</v>
      </c>
      <c r="C559" s="50" t="s">
        <v>1711</v>
      </c>
      <c r="D559" s="55">
        <v>45068</v>
      </c>
      <c r="E559" s="17" t="s">
        <v>1013</v>
      </c>
      <c r="F559" s="6"/>
      <c r="G559" s="33"/>
      <c r="H559" s="2">
        <v>8000</v>
      </c>
      <c r="I559" s="61">
        <f t="shared" si="8"/>
        <v>0</v>
      </c>
      <c r="J559" s="8" t="s">
        <v>64</v>
      </c>
      <c r="K559" s="9"/>
      <c r="L559" s="10">
        <v>8000</v>
      </c>
      <c r="M559" s="11">
        <v>0</v>
      </c>
      <c r="N559" s="6"/>
      <c r="O559" s="12"/>
      <c r="P559" s="6">
        <v>5</v>
      </c>
      <c r="Q559" s="6" t="s">
        <v>487</v>
      </c>
      <c r="R559" s="53" t="s">
        <v>1734</v>
      </c>
    </row>
    <row r="560" spans="1:18" x14ac:dyDescent="0.25">
      <c r="A560" s="2"/>
      <c r="B560" s="3" t="s">
        <v>1014</v>
      </c>
      <c r="C560" s="46" t="s">
        <v>722</v>
      </c>
      <c r="D560" s="55">
        <v>45068</v>
      </c>
      <c r="E560" s="5" t="s">
        <v>410</v>
      </c>
      <c r="F560" s="6"/>
      <c r="G560" s="7">
        <v>4.5781999999999998</v>
      </c>
      <c r="H560" s="2">
        <v>27000</v>
      </c>
      <c r="I560" s="61">
        <f t="shared" si="8"/>
        <v>123611.4</v>
      </c>
      <c r="J560" s="8" t="s">
        <v>77</v>
      </c>
      <c r="K560" s="9"/>
      <c r="L560" s="29">
        <v>0</v>
      </c>
      <c r="M560" s="11">
        <v>0</v>
      </c>
      <c r="N560" s="35"/>
      <c r="O560" s="12"/>
      <c r="P560" s="6">
        <v>5</v>
      </c>
      <c r="Q560" s="6" t="s">
        <v>487</v>
      </c>
      <c r="R560" s="53" t="s">
        <v>1734</v>
      </c>
    </row>
    <row r="561" spans="1:18" x14ac:dyDescent="0.25">
      <c r="A561" s="2"/>
      <c r="B561" s="16" t="s">
        <v>1015</v>
      </c>
      <c r="C561" s="50" t="s">
        <v>722</v>
      </c>
      <c r="D561" s="55">
        <v>45068</v>
      </c>
      <c r="E561" s="17" t="s">
        <v>293</v>
      </c>
      <c r="F561" s="6"/>
      <c r="G561" s="33"/>
      <c r="H561" s="2">
        <v>1500</v>
      </c>
      <c r="I561" s="61">
        <f t="shared" si="8"/>
        <v>0</v>
      </c>
      <c r="J561" s="8" t="s">
        <v>77</v>
      </c>
      <c r="K561" s="9"/>
      <c r="L561" s="29">
        <v>0</v>
      </c>
      <c r="M561" s="11">
        <v>0</v>
      </c>
      <c r="N561" s="35"/>
      <c r="O561" s="12"/>
      <c r="P561" s="6">
        <v>5</v>
      </c>
      <c r="Q561" s="6" t="s">
        <v>487</v>
      </c>
      <c r="R561" s="53" t="s">
        <v>1734</v>
      </c>
    </row>
    <row r="562" spans="1:18" x14ac:dyDescent="0.25">
      <c r="A562" s="2"/>
      <c r="B562" s="3" t="s">
        <v>1016</v>
      </c>
      <c r="C562" s="46" t="s">
        <v>1712</v>
      </c>
      <c r="D562" s="55">
        <v>45068</v>
      </c>
      <c r="E562" s="5" t="s">
        <v>1017</v>
      </c>
      <c r="F562" s="6"/>
      <c r="G562" s="7">
        <v>4.5781999999999998</v>
      </c>
      <c r="H562" s="2">
        <v>1500</v>
      </c>
      <c r="I562" s="61">
        <f t="shared" si="8"/>
        <v>6867.3</v>
      </c>
      <c r="J562" s="8" t="s">
        <v>69</v>
      </c>
      <c r="K562" s="9"/>
      <c r="L562" s="10">
        <v>1144.55</v>
      </c>
      <c r="M562" s="11">
        <v>5239.9788099999996</v>
      </c>
      <c r="N562" s="6"/>
      <c r="O562" s="12"/>
      <c r="P562" s="6">
        <v>5</v>
      </c>
      <c r="Q562" s="6" t="s">
        <v>487</v>
      </c>
      <c r="R562" s="53" t="s">
        <v>1734</v>
      </c>
    </row>
    <row r="563" spans="1:18" x14ac:dyDescent="0.25">
      <c r="A563" s="2"/>
      <c r="B563" s="3" t="s">
        <v>1018</v>
      </c>
      <c r="C563" s="46" t="s">
        <v>1712</v>
      </c>
      <c r="D563" s="55">
        <v>45068</v>
      </c>
      <c r="E563" s="5" t="s">
        <v>1019</v>
      </c>
      <c r="F563" s="6"/>
      <c r="G563" s="7">
        <v>4.5781999999999998</v>
      </c>
      <c r="H563" s="2">
        <v>120000</v>
      </c>
      <c r="I563" s="61">
        <f t="shared" si="8"/>
        <v>549384</v>
      </c>
      <c r="J563" s="8" t="s">
        <v>69</v>
      </c>
      <c r="K563" s="9"/>
      <c r="L563" s="10">
        <v>50001</v>
      </c>
      <c r="M563" s="11">
        <v>228914.57819999999</v>
      </c>
      <c r="N563" s="6"/>
      <c r="O563" s="12"/>
      <c r="P563" s="6">
        <v>5</v>
      </c>
      <c r="Q563" s="6" t="s">
        <v>487</v>
      </c>
      <c r="R563" s="53" t="s">
        <v>1734</v>
      </c>
    </row>
    <row r="564" spans="1:18" x14ac:dyDescent="0.25">
      <c r="A564" s="2"/>
      <c r="B564" s="3" t="s">
        <v>1020</v>
      </c>
      <c r="C564" s="46" t="s">
        <v>1711</v>
      </c>
      <c r="D564" s="55">
        <v>44866</v>
      </c>
      <c r="E564" s="5" t="s">
        <v>1804</v>
      </c>
      <c r="F564" s="6"/>
      <c r="G564" s="7">
        <v>4.5781999999999998</v>
      </c>
      <c r="H564" s="2">
        <v>10000</v>
      </c>
      <c r="I564" s="61">
        <f t="shared" si="8"/>
        <v>45782</v>
      </c>
      <c r="J564" s="8" t="s">
        <v>64</v>
      </c>
      <c r="K564" s="9"/>
      <c r="L564" s="10">
        <v>10000</v>
      </c>
      <c r="M564" s="11">
        <v>45782</v>
      </c>
      <c r="N564" s="6"/>
      <c r="O564" s="12"/>
      <c r="P564" s="6">
        <v>11</v>
      </c>
      <c r="Q564" s="6" t="s">
        <v>452</v>
      </c>
      <c r="R564" s="53" t="s">
        <v>1734</v>
      </c>
    </row>
    <row r="565" spans="1:18" x14ac:dyDescent="0.25">
      <c r="A565" s="2"/>
      <c r="B565" s="3" t="s">
        <v>1021</v>
      </c>
      <c r="C565" s="46" t="s">
        <v>722</v>
      </c>
      <c r="D565" s="55">
        <v>44866</v>
      </c>
      <c r="E565" s="5" t="s">
        <v>466</v>
      </c>
      <c r="F565" s="14"/>
      <c r="G565" s="32">
        <v>4.5781999999999998</v>
      </c>
      <c r="H565" s="13">
        <v>50000</v>
      </c>
      <c r="I565" s="61">
        <f t="shared" si="8"/>
        <v>228910</v>
      </c>
      <c r="J565" s="20" t="s">
        <v>77</v>
      </c>
      <c r="K565" s="9"/>
      <c r="L565" s="29">
        <v>0</v>
      </c>
      <c r="M565" s="15">
        <v>0</v>
      </c>
      <c r="N565" s="36"/>
      <c r="O565" s="12"/>
      <c r="P565" s="6">
        <v>11</v>
      </c>
      <c r="Q565" s="6" t="s">
        <v>452</v>
      </c>
      <c r="R565" s="53" t="s">
        <v>1734</v>
      </c>
    </row>
    <row r="566" spans="1:18" x14ac:dyDescent="0.25">
      <c r="A566" s="2"/>
      <c r="B566" s="3" t="s">
        <v>1022</v>
      </c>
      <c r="C566" s="46" t="s">
        <v>722</v>
      </c>
      <c r="D566" s="55">
        <v>44866</v>
      </c>
      <c r="E566" s="5" t="s">
        <v>1805</v>
      </c>
      <c r="F566" s="14"/>
      <c r="G566" s="32">
        <v>4.5781999999999998</v>
      </c>
      <c r="H566" s="13">
        <v>1000000</v>
      </c>
      <c r="I566" s="61">
        <f t="shared" si="8"/>
        <v>4578200</v>
      </c>
      <c r="J566" s="20" t="s">
        <v>77</v>
      </c>
      <c r="K566" s="9"/>
      <c r="L566" s="29">
        <v>0</v>
      </c>
      <c r="M566" s="15">
        <v>0</v>
      </c>
      <c r="N566" s="36"/>
      <c r="O566" s="12"/>
      <c r="P566" s="6">
        <v>11</v>
      </c>
      <c r="Q566" s="6" t="s">
        <v>452</v>
      </c>
      <c r="R566" s="53" t="s">
        <v>1734</v>
      </c>
    </row>
    <row r="567" spans="1:18" x14ac:dyDescent="0.25">
      <c r="A567" s="2"/>
      <c r="B567" s="3" t="s">
        <v>1023</v>
      </c>
      <c r="C567" s="46" t="s">
        <v>1712</v>
      </c>
      <c r="D567" s="55">
        <v>44866</v>
      </c>
      <c r="E567" s="5" t="s">
        <v>1024</v>
      </c>
      <c r="F567" s="6"/>
      <c r="G567" s="7">
        <v>4.5781999999999998</v>
      </c>
      <c r="H567" s="2">
        <v>5000</v>
      </c>
      <c r="I567" s="61">
        <f t="shared" si="8"/>
        <v>22891</v>
      </c>
      <c r="J567" s="8" t="s">
        <v>69</v>
      </c>
      <c r="K567" s="9"/>
      <c r="L567" s="10">
        <v>1000</v>
      </c>
      <c r="M567" s="11">
        <v>4578.2</v>
      </c>
      <c r="N567" s="6"/>
      <c r="O567" s="12"/>
      <c r="P567" s="6">
        <v>11</v>
      </c>
      <c r="Q567" s="6" t="s">
        <v>452</v>
      </c>
      <c r="R567" s="53" t="s">
        <v>1734</v>
      </c>
    </row>
    <row r="568" spans="1:18" x14ac:dyDescent="0.25">
      <c r="A568" s="2"/>
      <c r="B568" s="3" t="s">
        <v>1025</v>
      </c>
      <c r="C568" s="46" t="s">
        <v>1711</v>
      </c>
      <c r="D568" s="55">
        <v>44866</v>
      </c>
      <c r="E568" s="5" t="s">
        <v>1026</v>
      </c>
      <c r="F568" s="6"/>
      <c r="G568" s="7">
        <v>4.5781999999999998</v>
      </c>
      <c r="H568" s="2">
        <v>10000</v>
      </c>
      <c r="I568" s="61">
        <f t="shared" si="8"/>
        <v>45782</v>
      </c>
      <c r="J568" s="8" t="s">
        <v>64</v>
      </c>
      <c r="K568" s="9"/>
      <c r="L568" s="10">
        <v>10000</v>
      </c>
      <c r="M568" s="11">
        <v>45782</v>
      </c>
      <c r="N568" s="6"/>
      <c r="O568" s="12"/>
      <c r="P568" s="6">
        <v>11</v>
      </c>
      <c r="Q568" s="6" t="s">
        <v>452</v>
      </c>
      <c r="R568" s="53" t="s">
        <v>1734</v>
      </c>
    </row>
    <row r="569" spans="1:18" x14ac:dyDescent="0.25">
      <c r="A569" s="2"/>
      <c r="B569" s="3" t="s">
        <v>1027</v>
      </c>
      <c r="C569" s="46" t="s">
        <v>1712</v>
      </c>
      <c r="D569" s="55">
        <v>44866</v>
      </c>
      <c r="E569" s="5" t="s">
        <v>1759</v>
      </c>
      <c r="F569" s="6"/>
      <c r="G569" s="7">
        <v>4.5781999999999998</v>
      </c>
      <c r="H569" s="2">
        <v>50000</v>
      </c>
      <c r="I569" s="61">
        <f t="shared" si="8"/>
        <v>228910</v>
      </c>
      <c r="J569" s="8" t="s">
        <v>69</v>
      </c>
      <c r="K569" s="9"/>
      <c r="L569" s="10">
        <v>5000</v>
      </c>
      <c r="M569" s="11">
        <v>22891</v>
      </c>
      <c r="N569" s="6"/>
      <c r="O569" s="12"/>
      <c r="P569" s="6">
        <v>11</v>
      </c>
      <c r="Q569" s="6" t="s">
        <v>452</v>
      </c>
      <c r="R569" s="53" t="s">
        <v>1734</v>
      </c>
    </row>
    <row r="570" spans="1:18" x14ac:dyDescent="0.25">
      <c r="A570" s="2"/>
      <c r="B570" s="3" t="s">
        <v>1028</v>
      </c>
      <c r="C570" s="46" t="s">
        <v>1712</v>
      </c>
      <c r="D570" s="55">
        <v>44866</v>
      </c>
      <c r="E570" s="5" t="s">
        <v>1759</v>
      </c>
      <c r="F570" s="6"/>
      <c r="G570" s="7">
        <v>4.5781999999999998</v>
      </c>
      <c r="H570" s="2">
        <v>100000</v>
      </c>
      <c r="I570" s="61">
        <f t="shared" si="8"/>
        <v>457820</v>
      </c>
      <c r="J570" s="8" t="s">
        <v>69</v>
      </c>
      <c r="K570" s="9"/>
      <c r="L570" s="10">
        <v>7501</v>
      </c>
      <c r="M570" s="11">
        <v>34341.078200000004</v>
      </c>
      <c r="N570" s="6"/>
      <c r="O570" s="12"/>
      <c r="P570" s="6">
        <v>11</v>
      </c>
      <c r="Q570" s="6" t="s">
        <v>452</v>
      </c>
      <c r="R570" s="53" t="s">
        <v>1734</v>
      </c>
    </row>
    <row r="571" spans="1:18" x14ac:dyDescent="0.25">
      <c r="A571" s="2"/>
      <c r="B571" s="3" t="s">
        <v>1029</v>
      </c>
      <c r="C571" s="46" t="s">
        <v>1712</v>
      </c>
      <c r="D571" s="55">
        <v>44866</v>
      </c>
      <c r="E571" s="5" t="s">
        <v>1030</v>
      </c>
      <c r="F571" s="6"/>
      <c r="G571" s="7">
        <v>4.5781999999999998</v>
      </c>
      <c r="H571" s="2">
        <v>60000</v>
      </c>
      <c r="I571" s="61">
        <f t="shared" si="8"/>
        <v>274692</v>
      </c>
      <c r="J571" s="8" t="s">
        <v>69</v>
      </c>
      <c r="K571" s="9"/>
      <c r="L571" s="27">
        <v>0</v>
      </c>
      <c r="M571" s="11">
        <v>0</v>
      </c>
      <c r="N571" s="35" t="s">
        <v>858</v>
      </c>
      <c r="O571" s="12"/>
      <c r="P571" s="6">
        <v>11</v>
      </c>
      <c r="Q571" s="6" t="s">
        <v>452</v>
      </c>
      <c r="R571" s="53" t="s">
        <v>1734</v>
      </c>
    </row>
    <row r="572" spans="1:18" ht="25.5" x14ac:dyDescent="0.25">
      <c r="A572" s="2"/>
      <c r="B572" s="3" t="s">
        <v>1031</v>
      </c>
      <c r="C572" s="4" t="s">
        <v>72</v>
      </c>
      <c r="D572" s="55">
        <v>44866</v>
      </c>
      <c r="E572" s="5" t="s">
        <v>1032</v>
      </c>
      <c r="F572" s="6"/>
      <c r="G572" s="7">
        <v>4.5781999999999998</v>
      </c>
      <c r="H572" s="2">
        <v>43000</v>
      </c>
      <c r="I572" s="61">
        <f t="shared" si="8"/>
        <v>196862.6</v>
      </c>
      <c r="J572" s="8" t="s">
        <v>122</v>
      </c>
      <c r="K572" s="9"/>
      <c r="L572" s="27">
        <v>0</v>
      </c>
      <c r="M572" s="11">
        <v>0</v>
      </c>
      <c r="N572" s="35" t="s">
        <v>1033</v>
      </c>
      <c r="O572" s="12"/>
      <c r="P572" s="6">
        <v>11</v>
      </c>
      <c r="Q572" s="6" t="s">
        <v>452</v>
      </c>
      <c r="R572" s="53" t="s">
        <v>1734</v>
      </c>
    </row>
    <row r="573" spans="1:18" x14ac:dyDescent="0.25">
      <c r="A573" s="2"/>
      <c r="B573" s="3" t="s">
        <v>1034</v>
      </c>
      <c r="C573" s="46" t="s">
        <v>1711</v>
      </c>
      <c r="D573" s="55">
        <v>44866</v>
      </c>
      <c r="E573" s="5" t="s">
        <v>140</v>
      </c>
      <c r="F573" s="6"/>
      <c r="G573" s="7">
        <v>4.5781999999999998</v>
      </c>
      <c r="H573" s="2">
        <v>9000</v>
      </c>
      <c r="I573" s="61">
        <f t="shared" si="8"/>
        <v>41203.799999999996</v>
      </c>
      <c r="J573" s="8" t="s">
        <v>64</v>
      </c>
      <c r="K573" s="9"/>
      <c r="L573" s="10">
        <v>9000</v>
      </c>
      <c r="M573" s="11">
        <v>41203.800000000003</v>
      </c>
      <c r="N573" s="6"/>
      <c r="O573" s="12"/>
      <c r="P573" s="6">
        <v>11</v>
      </c>
      <c r="Q573" s="6" t="s">
        <v>452</v>
      </c>
      <c r="R573" s="53" t="s">
        <v>1734</v>
      </c>
    </row>
    <row r="574" spans="1:18" x14ac:dyDescent="0.25">
      <c r="A574" s="2"/>
      <c r="B574" s="3" t="s">
        <v>1035</v>
      </c>
      <c r="C574" s="46" t="s">
        <v>1711</v>
      </c>
      <c r="D574" s="55">
        <v>44866</v>
      </c>
      <c r="E574" s="5" t="s">
        <v>1036</v>
      </c>
      <c r="F574" s="6"/>
      <c r="G574" s="7">
        <v>4.5781999999999998</v>
      </c>
      <c r="H574" s="2">
        <v>8000</v>
      </c>
      <c r="I574" s="61">
        <f t="shared" si="8"/>
        <v>36625.599999999999</v>
      </c>
      <c r="J574" s="8" t="s">
        <v>64</v>
      </c>
      <c r="K574" s="9"/>
      <c r="L574" s="10">
        <v>8000</v>
      </c>
      <c r="M574" s="11">
        <v>36625.599999999999</v>
      </c>
      <c r="N574" s="6"/>
      <c r="O574" s="12"/>
      <c r="P574" s="6">
        <v>11</v>
      </c>
      <c r="Q574" s="6" t="s">
        <v>452</v>
      </c>
      <c r="R574" s="53" t="s">
        <v>1734</v>
      </c>
    </row>
    <row r="575" spans="1:18" x14ac:dyDescent="0.25">
      <c r="A575" s="2"/>
      <c r="B575" s="3" t="s">
        <v>1037</v>
      </c>
      <c r="C575" s="46" t="s">
        <v>1711</v>
      </c>
      <c r="D575" s="55">
        <v>44866</v>
      </c>
      <c r="E575" s="5" t="s">
        <v>1806</v>
      </c>
      <c r="F575" s="6"/>
      <c r="G575" s="7">
        <v>4.5781999999999998</v>
      </c>
      <c r="H575" s="2">
        <v>100000</v>
      </c>
      <c r="I575" s="61">
        <f t="shared" si="8"/>
        <v>457820</v>
      </c>
      <c r="J575" s="8" t="s">
        <v>64</v>
      </c>
      <c r="K575" s="9"/>
      <c r="L575" s="10">
        <v>457820</v>
      </c>
      <c r="M575" s="11">
        <v>2095991.524</v>
      </c>
      <c r="N575" s="6"/>
      <c r="O575" s="12"/>
      <c r="P575" s="6">
        <v>11</v>
      </c>
      <c r="Q575" s="6" t="s">
        <v>452</v>
      </c>
      <c r="R575" s="53" t="s">
        <v>1734</v>
      </c>
    </row>
    <row r="576" spans="1:18" x14ac:dyDescent="0.25">
      <c r="A576" s="2"/>
      <c r="B576" s="3" t="s">
        <v>1038</v>
      </c>
      <c r="C576" s="46" t="s">
        <v>1712</v>
      </c>
      <c r="D576" s="55">
        <v>44866</v>
      </c>
      <c r="E576" s="5" t="s">
        <v>1039</v>
      </c>
      <c r="F576" s="6"/>
      <c r="G576" s="7">
        <v>4.5781999999999998</v>
      </c>
      <c r="H576" s="2">
        <v>7500</v>
      </c>
      <c r="I576" s="61">
        <f t="shared" si="8"/>
        <v>34336.5</v>
      </c>
      <c r="J576" s="8" t="s">
        <v>69</v>
      </c>
      <c r="K576" s="9"/>
      <c r="L576" s="10">
        <v>500</v>
      </c>
      <c r="M576" s="11">
        <v>2289.1</v>
      </c>
      <c r="N576" s="6"/>
      <c r="O576" s="12"/>
      <c r="P576" s="6">
        <v>11</v>
      </c>
      <c r="Q576" s="6" t="s">
        <v>452</v>
      </c>
      <c r="R576" s="53" t="s">
        <v>1734</v>
      </c>
    </row>
    <row r="577" spans="1:18" x14ac:dyDescent="0.25">
      <c r="A577" s="2"/>
      <c r="B577" s="3" t="s">
        <v>1040</v>
      </c>
      <c r="C577" s="46" t="s">
        <v>1711</v>
      </c>
      <c r="D577" s="55">
        <v>44866</v>
      </c>
      <c r="E577" s="5" t="s">
        <v>1041</v>
      </c>
      <c r="F577" s="6"/>
      <c r="G577" s="7">
        <v>4.5781999999999998</v>
      </c>
      <c r="H577" s="2">
        <v>7000</v>
      </c>
      <c r="I577" s="61">
        <f t="shared" si="8"/>
        <v>32047.399999999998</v>
      </c>
      <c r="J577" s="8" t="s">
        <v>64</v>
      </c>
      <c r="K577" s="9"/>
      <c r="L577" s="10">
        <v>7000</v>
      </c>
      <c r="M577" s="11">
        <v>32047.4</v>
      </c>
      <c r="N577" s="6"/>
      <c r="O577" s="12"/>
      <c r="P577" s="6">
        <v>11</v>
      </c>
      <c r="Q577" s="6" t="s">
        <v>452</v>
      </c>
      <c r="R577" s="53" t="s">
        <v>1734</v>
      </c>
    </row>
    <row r="578" spans="1:18" x14ac:dyDescent="0.25">
      <c r="A578" s="2"/>
      <c r="B578" s="3" t="s">
        <v>1042</v>
      </c>
      <c r="C578" s="46" t="s">
        <v>1711</v>
      </c>
      <c r="D578" s="55">
        <v>44866</v>
      </c>
      <c r="E578" s="5" t="s">
        <v>1043</v>
      </c>
      <c r="F578" s="6"/>
      <c r="G578" s="7">
        <v>4.5781999999999998</v>
      </c>
      <c r="H578" s="2">
        <v>5000</v>
      </c>
      <c r="I578" s="61">
        <f t="shared" si="8"/>
        <v>22891</v>
      </c>
      <c r="J578" s="8" t="s">
        <v>64</v>
      </c>
      <c r="K578" s="9"/>
      <c r="L578" s="10">
        <v>5000</v>
      </c>
      <c r="M578" s="11">
        <v>22891</v>
      </c>
      <c r="N578" s="6"/>
      <c r="O578" s="12"/>
      <c r="P578" s="6">
        <v>11</v>
      </c>
      <c r="Q578" s="6" t="s">
        <v>452</v>
      </c>
      <c r="R578" s="53" t="s">
        <v>1734</v>
      </c>
    </row>
    <row r="579" spans="1:18" x14ac:dyDescent="0.25">
      <c r="A579" s="2"/>
      <c r="B579" s="3" t="s">
        <v>1044</v>
      </c>
      <c r="C579" s="46" t="s">
        <v>1712</v>
      </c>
      <c r="D579" s="55">
        <v>44775</v>
      </c>
      <c r="E579" s="5" t="s">
        <v>1805</v>
      </c>
      <c r="F579" s="14"/>
      <c r="G579" s="32">
        <v>4.5781999999999998</v>
      </c>
      <c r="H579" s="13">
        <v>5000</v>
      </c>
      <c r="I579" s="61">
        <f t="shared" ref="I579:I631" si="9">IF(H579&lt;&gt;0, G579*H579, "")</f>
        <v>22891</v>
      </c>
      <c r="J579" s="20" t="s">
        <v>69</v>
      </c>
      <c r="K579" s="9"/>
      <c r="L579" s="21">
        <v>4578.2</v>
      </c>
      <c r="M579" s="15">
        <v>20959.915239999998</v>
      </c>
      <c r="N579" s="6"/>
      <c r="O579" s="12"/>
      <c r="P579" s="6">
        <v>8</v>
      </c>
      <c r="Q579" s="6" t="s">
        <v>530</v>
      </c>
      <c r="R579" s="53" t="s">
        <v>1734</v>
      </c>
    </row>
    <row r="580" spans="1:18" x14ac:dyDescent="0.25">
      <c r="A580" s="2"/>
      <c r="B580" s="3" t="s">
        <v>395</v>
      </c>
      <c r="C580" s="46" t="s">
        <v>1711</v>
      </c>
      <c r="D580" s="55">
        <v>44775</v>
      </c>
      <c r="E580" s="5" t="s">
        <v>396</v>
      </c>
      <c r="F580" s="6"/>
      <c r="G580" s="7">
        <v>4.5781999999999998</v>
      </c>
      <c r="H580" s="2">
        <v>40000</v>
      </c>
      <c r="I580" s="61">
        <f t="shared" si="9"/>
        <v>183128</v>
      </c>
      <c r="J580" s="8" t="s">
        <v>64</v>
      </c>
      <c r="K580" s="9"/>
      <c r="L580" s="10">
        <v>183128</v>
      </c>
      <c r="M580" s="11">
        <v>838396.60959999997</v>
      </c>
      <c r="N580" s="6"/>
      <c r="O580" s="12"/>
      <c r="P580" s="6">
        <v>8</v>
      </c>
      <c r="Q580" s="6" t="s">
        <v>530</v>
      </c>
      <c r="R580" s="53" t="s">
        <v>1734</v>
      </c>
    </row>
    <row r="581" spans="1:18" x14ac:dyDescent="0.25">
      <c r="A581" s="2"/>
      <c r="B581" s="3" t="s">
        <v>1045</v>
      </c>
      <c r="C581" s="47" t="s">
        <v>722</v>
      </c>
      <c r="D581" s="55">
        <v>44775</v>
      </c>
      <c r="E581" s="5" t="s">
        <v>1807</v>
      </c>
      <c r="F581" s="6"/>
      <c r="G581" s="7">
        <v>4.5781999999999998</v>
      </c>
      <c r="H581" s="2">
        <v>50000</v>
      </c>
      <c r="I581" s="61">
        <f t="shared" si="9"/>
        <v>228910</v>
      </c>
      <c r="J581" s="8" t="s">
        <v>77</v>
      </c>
      <c r="K581" s="9"/>
      <c r="L581" s="29">
        <v>0</v>
      </c>
      <c r="M581" s="11">
        <v>0</v>
      </c>
      <c r="N581" s="35"/>
      <c r="O581" s="12"/>
      <c r="P581" s="6">
        <v>8</v>
      </c>
      <c r="Q581" s="6" t="s">
        <v>530</v>
      </c>
      <c r="R581" s="53" t="s">
        <v>1734</v>
      </c>
    </row>
    <row r="582" spans="1:18" x14ac:dyDescent="0.25">
      <c r="A582" s="2"/>
      <c r="B582" s="3" t="s">
        <v>1046</v>
      </c>
      <c r="C582" s="47" t="s">
        <v>1711</v>
      </c>
      <c r="D582" s="55">
        <v>44775</v>
      </c>
      <c r="E582" s="5" t="s">
        <v>1808</v>
      </c>
      <c r="F582" s="6"/>
      <c r="G582" s="7">
        <v>4.5781999999999998</v>
      </c>
      <c r="H582" s="2">
        <v>17500</v>
      </c>
      <c r="I582" s="61">
        <f t="shared" si="9"/>
        <v>80118.5</v>
      </c>
      <c r="J582" s="8" t="s">
        <v>64</v>
      </c>
      <c r="K582" s="9"/>
      <c r="L582" s="10">
        <v>80118.5</v>
      </c>
      <c r="M582" s="11">
        <v>366798.51669999998</v>
      </c>
      <c r="N582" s="6"/>
      <c r="O582" s="12"/>
      <c r="P582" s="6">
        <v>8</v>
      </c>
      <c r="Q582" s="6" t="s">
        <v>530</v>
      </c>
      <c r="R582" s="53" t="s">
        <v>1734</v>
      </c>
    </row>
    <row r="583" spans="1:18" x14ac:dyDescent="0.25">
      <c r="A583" s="2"/>
      <c r="B583" s="3" t="s">
        <v>1047</v>
      </c>
      <c r="C583" s="47" t="s">
        <v>1711</v>
      </c>
      <c r="D583" s="55">
        <v>44775</v>
      </c>
      <c r="E583" s="5" t="s">
        <v>1048</v>
      </c>
      <c r="F583" s="6"/>
      <c r="G583" s="7">
        <v>4.5781999999999998</v>
      </c>
      <c r="H583" s="2">
        <v>50001</v>
      </c>
      <c r="I583" s="61">
        <f t="shared" si="9"/>
        <v>228914.57819999999</v>
      </c>
      <c r="J583" s="8" t="s">
        <v>64</v>
      </c>
      <c r="K583" s="9"/>
      <c r="L583" s="10">
        <v>228914.58</v>
      </c>
      <c r="M583" s="11">
        <v>1048016.730156</v>
      </c>
      <c r="N583" s="6"/>
      <c r="O583" s="12"/>
      <c r="P583" s="6">
        <v>8</v>
      </c>
      <c r="Q583" s="6" t="s">
        <v>530</v>
      </c>
      <c r="R583" s="53" t="s">
        <v>1734</v>
      </c>
    </row>
    <row r="584" spans="1:18" x14ac:dyDescent="0.25">
      <c r="A584" s="2"/>
      <c r="B584" s="3" t="s">
        <v>1049</v>
      </c>
      <c r="C584" s="47" t="s">
        <v>1711</v>
      </c>
      <c r="D584" s="55">
        <v>44677</v>
      </c>
      <c r="E584" s="5" t="s">
        <v>1050</v>
      </c>
      <c r="F584" s="6"/>
      <c r="G584" s="7">
        <v>4.5781999999999998</v>
      </c>
      <c r="H584" s="2">
        <v>22000</v>
      </c>
      <c r="I584" s="61">
        <f t="shared" si="9"/>
        <v>100720.4</v>
      </c>
      <c r="J584" s="8" t="s">
        <v>64</v>
      </c>
      <c r="K584" s="9"/>
      <c r="L584" s="10">
        <v>22000</v>
      </c>
      <c r="M584" s="11">
        <v>100720.4</v>
      </c>
      <c r="N584" s="6"/>
      <c r="O584" s="12"/>
      <c r="P584" s="6">
        <v>4</v>
      </c>
      <c r="Q584" s="6" t="s">
        <v>3</v>
      </c>
      <c r="R584" s="53" t="s">
        <v>1734</v>
      </c>
    </row>
    <row r="585" spans="1:18" x14ac:dyDescent="0.25">
      <c r="A585" s="2"/>
      <c r="B585" s="3" t="s">
        <v>1051</v>
      </c>
      <c r="C585" s="47" t="s">
        <v>1711</v>
      </c>
      <c r="D585" s="55">
        <v>44677</v>
      </c>
      <c r="E585" s="5" t="s">
        <v>908</v>
      </c>
      <c r="F585" s="14"/>
      <c r="G585" s="32">
        <v>4.5781999999999998</v>
      </c>
      <c r="H585" s="13">
        <v>7501</v>
      </c>
      <c r="I585" s="61">
        <f t="shared" si="9"/>
        <v>34341.078199999996</v>
      </c>
      <c r="J585" s="20" t="s">
        <v>64</v>
      </c>
      <c r="K585" s="9"/>
      <c r="L585" s="21">
        <v>34341.08</v>
      </c>
      <c r="M585" s="15">
        <v>157220.332456</v>
      </c>
      <c r="N585" s="6"/>
      <c r="O585" s="12"/>
      <c r="P585" s="6">
        <v>4</v>
      </c>
      <c r="Q585" s="6" t="s">
        <v>3</v>
      </c>
      <c r="R585" s="53" t="s">
        <v>1734</v>
      </c>
    </row>
    <row r="586" spans="1:18" x14ac:dyDescent="0.25">
      <c r="A586" s="2"/>
      <c r="B586" s="3" t="s">
        <v>1052</v>
      </c>
      <c r="C586" s="47" t="s">
        <v>1711</v>
      </c>
      <c r="D586" s="55">
        <v>44677</v>
      </c>
      <c r="E586" s="5" t="s">
        <v>1053</v>
      </c>
      <c r="F586" s="6"/>
      <c r="G586" s="7">
        <v>4.5781999999999998</v>
      </c>
      <c r="H586" s="2">
        <v>400</v>
      </c>
      <c r="I586" s="61">
        <f t="shared" si="9"/>
        <v>1831.28</v>
      </c>
      <c r="J586" s="8" t="s">
        <v>64</v>
      </c>
      <c r="K586" s="9"/>
      <c r="L586" s="10">
        <v>1831.28</v>
      </c>
      <c r="M586" s="11">
        <v>8383.9660960000001</v>
      </c>
      <c r="N586" s="6"/>
      <c r="O586" s="12"/>
      <c r="P586" s="6">
        <v>4</v>
      </c>
      <c r="Q586" s="6" t="s">
        <v>3</v>
      </c>
      <c r="R586" s="53" t="s">
        <v>1734</v>
      </c>
    </row>
    <row r="587" spans="1:18" x14ac:dyDescent="0.25">
      <c r="A587" s="2"/>
      <c r="B587" s="3" t="s">
        <v>1054</v>
      </c>
      <c r="C587" s="47" t="s">
        <v>722</v>
      </c>
      <c r="D587" s="55">
        <v>44677</v>
      </c>
      <c r="E587" s="5" t="s">
        <v>149</v>
      </c>
      <c r="F587" s="6"/>
      <c r="G587" s="7">
        <v>4.5781999999999998</v>
      </c>
      <c r="H587" s="2">
        <v>60000</v>
      </c>
      <c r="I587" s="61">
        <f t="shared" si="9"/>
        <v>274692</v>
      </c>
      <c r="J587" s="8" t="s">
        <v>77</v>
      </c>
      <c r="K587" s="9"/>
      <c r="L587" s="29">
        <v>0</v>
      </c>
      <c r="M587" s="11">
        <v>0</v>
      </c>
      <c r="N587" s="35" t="s">
        <v>840</v>
      </c>
      <c r="O587" s="12"/>
      <c r="P587" s="6">
        <v>4</v>
      </c>
      <c r="Q587" s="6" t="s">
        <v>3</v>
      </c>
      <c r="R587" s="53" t="s">
        <v>1734</v>
      </c>
    </row>
    <row r="588" spans="1:18" x14ac:dyDescent="0.25">
      <c r="A588" s="2"/>
      <c r="B588" s="3" t="s">
        <v>1055</v>
      </c>
      <c r="C588" s="47" t="s">
        <v>1712</v>
      </c>
      <c r="D588" s="55">
        <v>44588</v>
      </c>
      <c r="E588" s="5" t="s">
        <v>616</v>
      </c>
      <c r="F588" s="14"/>
      <c r="G588" s="32">
        <v>4.5781999999999998</v>
      </c>
      <c r="H588" s="13">
        <v>50001</v>
      </c>
      <c r="I588" s="61">
        <f t="shared" si="9"/>
        <v>228914.57819999999</v>
      </c>
      <c r="J588" s="20" t="s">
        <v>69</v>
      </c>
      <c r="K588" s="9"/>
      <c r="L588" s="27">
        <v>0</v>
      </c>
      <c r="M588" s="15">
        <v>0</v>
      </c>
      <c r="N588" s="36" t="s">
        <v>858</v>
      </c>
      <c r="O588" s="12"/>
      <c r="P588" s="6">
        <v>1</v>
      </c>
      <c r="Q588" s="6" t="s">
        <v>311</v>
      </c>
      <c r="R588" s="53" t="s">
        <v>1734</v>
      </c>
    </row>
    <row r="589" spans="1:18" x14ac:dyDescent="0.25">
      <c r="A589" s="2"/>
      <c r="B589" s="3" t="s">
        <v>1056</v>
      </c>
      <c r="C589" s="47" t="s">
        <v>722</v>
      </c>
      <c r="D589" s="55">
        <v>44588</v>
      </c>
      <c r="E589" s="5" t="s">
        <v>1057</v>
      </c>
      <c r="F589" s="6"/>
      <c r="G589" s="7">
        <v>4.5781999999999998</v>
      </c>
      <c r="H589" s="2">
        <v>8000</v>
      </c>
      <c r="I589" s="61">
        <f t="shared" si="9"/>
        <v>36625.599999999999</v>
      </c>
      <c r="J589" s="8" t="s">
        <v>77</v>
      </c>
      <c r="K589" s="9"/>
      <c r="L589" s="29">
        <v>0</v>
      </c>
      <c r="M589" s="11">
        <v>0</v>
      </c>
      <c r="N589" s="35"/>
      <c r="O589" s="12"/>
      <c r="P589" s="6">
        <v>1</v>
      </c>
      <c r="Q589" s="6" t="s">
        <v>311</v>
      </c>
      <c r="R589" s="53" t="s">
        <v>1734</v>
      </c>
    </row>
    <row r="590" spans="1:18" x14ac:dyDescent="0.25">
      <c r="A590" s="2"/>
      <c r="B590" s="3" t="s">
        <v>1058</v>
      </c>
      <c r="C590" s="47" t="s">
        <v>1712</v>
      </c>
      <c r="D590" s="55">
        <v>44588</v>
      </c>
      <c r="E590" s="5" t="s">
        <v>396</v>
      </c>
      <c r="F590" s="6"/>
      <c r="G590" s="7">
        <v>4.5781999999999998</v>
      </c>
      <c r="H590" s="2">
        <v>25000</v>
      </c>
      <c r="I590" s="61">
        <f t="shared" si="9"/>
        <v>114455</v>
      </c>
      <c r="J590" s="8" t="s">
        <v>69</v>
      </c>
      <c r="K590" s="9"/>
      <c r="L590" s="10">
        <v>34341</v>
      </c>
      <c r="M590" s="11">
        <v>157219.9662</v>
      </c>
      <c r="N590" s="6"/>
      <c r="O590" s="12"/>
      <c r="P590" s="6">
        <v>1</v>
      </c>
      <c r="Q590" s="6" t="s">
        <v>311</v>
      </c>
      <c r="R590" s="53" t="s">
        <v>1734</v>
      </c>
    </row>
    <row r="591" spans="1:18" x14ac:dyDescent="0.25">
      <c r="A591" s="2"/>
      <c r="B591" s="3" t="s">
        <v>1059</v>
      </c>
      <c r="C591" s="47" t="s">
        <v>1711</v>
      </c>
      <c r="D591" s="55">
        <v>44504</v>
      </c>
      <c r="E591" s="5" t="s">
        <v>1060</v>
      </c>
      <c r="F591" s="6"/>
      <c r="G591" s="7">
        <v>4.5781999999999998</v>
      </c>
      <c r="H591" s="2">
        <v>12000</v>
      </c>
      <c r="I591" s="61">
        <f t="shared" si="9"/>
        <v>54938.400000000001</v>
      </c>
      <c r="J591" s="8" t="s">
        <v>64</v>
      </c>
      <c r="K591" s="9"/>
      <c r="L591" s="10">
        <v>12000</v>
      </c>
      <c r="M591" s="11">
        <v>54938.400000000001</v>
      </c>
      <c r="N591" s="6"/>
      <c r="O591" s="12"/>
      <c r="P591" s="6">
        <v>11</v>
      </c>
      <c r="Q591" s="6" t="s">
        <v>452</v>
      </c>
      <c r="R591" s="53" t="s">
        <v>1734</v>
      </c>
    </row>
    <row r="592" spans="1:18" x14ac:dyDescent="0.25">
      <c r="A592" s="2"/>
      <c r="B592" s="3" t="s">
        <v>1061</v>
      </c>
      <c r="C592" s="47" t="s">
        <v>722</v>
      </c>
      <c r="D592" s="55">
        <v>44426</v>
      </c>
      <c r="E592" s="5" t="s">
        <v>1809</v>
      </c>
      <c r="F592" s="6"/>
      <c r="G592" s="7">
        <v>4.5781999999999998</v>
      </c>
      <c r="H592" s="2">
        <v>1500</v>
      </c>
      <c r="I592" s="61">
        <f t="shared" si="9"/>
        <v>6867.3</v>
      </c>
      <c r="J592" s="8" t="s">
        <v>77</v>
      </c>
      <c r="K592" s="9"/>
      <c r="L592" s="29">
        <v>0</v>
      </c>
      <c r="M592" s="11">
        <v>0</v>
      </c>
      <c r="N592" s="35" t="s">
        <v>858</v>
      </c>
      <c r="O592" s="12"/>
      <c r="P592" s="6">
        <v>8</v>
      </c>
      <c r="Q592" s="6" t="s">
        <v>530</v>
      </c>
      <c r="R592" s="53" t="s">
        <v>1734</v>
      </c>
    </row>
    <row r="593" spans="1:18" x14ac:dyDescent="0.25">
      <c r="A593" s="2"/>
      <c r="B593" s="3" t="s">
        <v>1062</v>
      </c>
      <c r="C593" s="47" t="s">
        <v>1711</v>
      </c>
      <c r="D593" s="55">
        <v>44426</v>
      </c>
      <c r="E593" s="5" t="s">
        <v>1063</v>
      </c>
      <c r="F593" s="6"/>
      <c r="G593" s="7">
        <v>4.5781999999999998</v>
      </c>
      <c r="H593" s="2">
        <v>2500</v>
      </c>
      <c r="I593" s="61">
        <f t="shared" si="9"/>
        <v>11445.5</v>
      </c>
      <c r="J593" s="8" t="s">
        <v>64</v>
      </c>
      <c r="K593" s="9"/>
      <c r="L593" s="10">
        <v>11445.5</v>
      </c>
      <c r="M593" s="11">
        <v>52399.788099999998</v>
      </c>
      <c r="N593" s="6"/>
      <c r="O593" s="12"/>
      <c r="P593" s="6">
        <v>8</v>
      </c>
      <c r="Q593" s="6" t="s">
        <v>530</v>
      </c>
      <c r="R593" s="53" t="s">
        <v>1734</v>
      </c>
    </row>
    <row r="594" spans="1:18" x14ac:dyDescent="0.25">
      <c r="A594" s="2"/>
      <c r="B594" s="3" t="s">
        <v>1064</v>
      </c>
      <c r="C594" s="47" t="s">
        <v>1712</v>
      </c>
      <c r="D594" s="55">
        <v>44426</v>
      </c>
      <c r="E594" s="5" t="s">
        <v>1065</v>
      </c>
      <c r="F594" s="6"/>
      <c r="G594" s="7">
        <v>4.5781999999999998</v>
      </c>
      <c r="H594" s="2">
        <v>15000</v>
      </c>
      <c r="I594" s="61">
        <f t="shared" si="9"/>
        <v>68673</v>
      </c>
      <c r="J594" s="8" t="s">
        <v>69</v>
      </c>
      <c r="K594" s="9"/>
      <c r="L594" s="27">
        <v>0</v>
      </c>
      <c r="M594" s="11">
        <v>0</v>
      </c>
      <c r="N594" s="35" t="s">
        <v>858</v>
      </c>
      <c r="O594" s="12"/>
      <c r="P594" s="6">
        <v>8</v>
      </c>
      <c r="Q594" s="6" t="s">
        <v>530</v>
      </c>
      <c r="R594" s="53" t="s">
        <v>1734</v>
      </c>
    </row>
    <row r="595" spans="1:18" x14ac:dyDescent="0.25">
      <c r="A595" s="2"/>
      <c r="B595" s="3" t="s">
        <v>1066</v>
      </c>
      <c r="C595" s="47" t="s">
        <v>1711</v>
      </c>
      <c r="D595" s="55">
        <v>44287</v>
      </c>
      <c r="E595" s="5" t="s">
        <v>1017</v>
      </c>
      <c r="F595" s="6"/>
      <c r="G595" s="7">
        <v>4.5781999999999998</v>
      </c>
      <c r="H595" s="2">
        <v>7501</v>
      </c>
      <c r="I595" s="61">
        <f t="shared" si="9"/>
        <v>34341.078199999996</v>
      </c>
      <c r="J595" s="8" t="s">
        <v>64</v>
      </c>
      <c r="K595" s="9"/>
      <c r="L595" s="10">
        <v>7501</v>
      </c>
      <c r="M595" s="11">
        <v>34341.078200000004</v>
      </c>
      <c r="N595" s="6"/>
      <c r="O595" s="12"/>
      <c r="P595" s="6">
        <v>4</v>
      </c>
      <c r="Q595" s="6" t="s">
        <v>3</v>
      </c>
      <c r="R595" s="53" t="s">
        <v>1734</v>
      </c>
    </row>
    <row r="596" spans="1:18" x14ac:dyDescent="0.25">
      <c r="A596" s="2"/>
      <c r="B596" s="3" t="s">
        <v>1067</v>
      </c>
      <c r="C596" s="47" t="s">
        <v>1711</v>
      </c>
      <c r="D596" s="55">
        <v>44284</v>
      </c>
      <c r="E596" s="5" t="s">
        <v>1068</v>
      </c>
      <c r="F596" s="6"/>
      <c r="G596" s="7">
        <v>4.5781999999999998</v>
      </c>
      <c r="H596" s="2">
        <v>7000</v>
      </c>
      <c r="I596" s="61">
        <f t="shared" si="9"/>
        <v>32047.399999999998</v>
      </c>
      <c r="J596" s="8" t="s">
        <v>64</v>
      </c>
      <c r="K596" s="9"/>
      <c r="L596" s="10">
        <v>7000</v>
      </c>
      <c r="M596" s="11">
        <v>32047.4</v>
      </c>
      <c r="N596" s="6"/>
      <c r="O596" s="12"/>
      <c r="P596" s="6">
        <v>3</v>
      </c>
      <c r="Q596" s="6" t="s">
        <v>152</v>
      </c>
      <c r="R596" s="53" t="s">
        <v>1734</v>
      </c>
    </row>
    <row r="597" spans="1:18" x14ac:dyDescent="0.25">
      <c r="A597" s="2"/>
      <c r="B597" s="3" t="s">
        <v>1069</v>
      </c>
      <c r="C597" s="47" t="s">
        <v>722</v>
      </c>
      <c r="D597" s="55">
        <v>43461</v>
      </c>
      <c r="E597" s="5" t="s">
        <v>1810</v>
      </c>
      <c r="F597" s="6"/>
      <c r="G597" s="7">
        <v>4.5781999999999998</v>
      </c>
      <c r="H597" s="2">
        <v>50000</v>
      </c>
      <c r="I597" s="61">
        <f t="shared" si="9"/>
        <v>228910</v>
      </c>
      <c r="J597" s="8" t="s">
        <v>77</v>
      </c>
      <c r="K597" s="9"/>
      <c r="L597" s="29">
        <v>0</v>
      </c>
      <c r="M597" s="11">
        <v>0</v>
      </c>
      <c r="N597" s="35" t="s">
        <v>840</v>
      </c>
      <c r="O597" s="12"/>
      <c r="P597" s="6">
        <v>12</v>
      </c>
      <c r="Q597" s="6" t="s">
        <v>413</v>
      </c>
      <c r="R597" s="53" t="s">
        <v>1734</v>
      </c>
    </row>
    <row r="598" spans="1:18" x14ac:dyDescent="0.25">
      <c r="A598" s="2">
        <v>1</v>
      </c>
      <c r="B598" s="3" t="s">
        <v>1070</v>
      </c>
      <c r="C598" s="4" t="s">
        <v>1</v>
      </c>
      <c r="D598" s="55">
        <v>45786</v>
      </c>
      <c r="E598" s="5" t="s">
        <v>402</v>
      </c>
      <c r="F598" s="6"/>
      <c r="G598" s="7">
        <v>4.5781999999999998</v>
      </c>
      <c r="H598" s="2">
        <v>7500</v>
      </c>
      <c r="I598" s="61">
        <f t="shared" si="9"/>
        <v>34336.5</v>
      </c>
      <c r="J598" s="8"/>
      <c r="K598" s="9"/>
      <c r="L598" s="10"/>
      <c r="M598" s="11">
        <v>0</v>
      </c>
      <c r="N598" s="6"/>
      <c r="O598" s="12"/>
      <c r="P598" s="6">
        <v>5</v>
      </c>
      <c r="Q598" s="6" t="s">
        <v>487</v>
      </c>
      <c r="R598" s="53" t="s">
        <v>1734</v>
      </c>
    </row>
    <row r="599" spans="1:18" x14ac:dyDescent="0.25">
      <c r="A599" s="2">
        <v>2</v>
      </c>
      <c r="B599" s="3" t="s">
        <v>1071</v>
      </c>
      <c r="C599" s="4" t="s">
        <v>1</v>
      </c>
      <c r="D599" s="55">
        <v>45786</v>
      </c>
      <c r="E599" s="5" t="s">
        <v>1072</v>
      </c>
      <c r="F599" s="6"/>
      <c r="G599" s="7">
        <v>4.5781999999999998</v>
      </c>
      <c r="H599" s="2">
        <v>30000</v>
      </c>
      <c r="I599" s="61">
        <f t="shared" si="9"/>
        <v>137346</v>
      </c>
      <c r="J599" s="8"/>
      <c r="K599" s="9"/>
      <c r="L599" s="10"/>
      <c r="M599" s="11">
        <v>0</v>
      </c>
      <c r="N599" s="6"/>
      <c r="O599" s="12"/>
      <c r="P599" s="6">
        <v>5</v>
      </c>
      <c r="Q599" s="6" t="s">
        <v>487</v>
      </c>
      <c r="R599" s="53" t="s">
        <v>1734</v>
      </c>
    </row>
    <row r="600" spans="1:18" x14ac:dyDescent="0.25">
      <c r="A600" s="2">
        <v>3</v>
      </c>
      <c r="B600" s="3" t="s">
        <v>1073</v>
      </c>
      <c r="C600" s="4" t="s">
        <v>1</v>
      </c>
      <c r="D600" s="55">
        <v>45786</v>
      </c>
      <c r="E600" s="5" t="s">
        <v>1074</v>
      </c>
      <c r="F600" s="6"/>
      <c r="G600" s="7">
        <v>4.5781999999999998</v>
      </c>
      <c r="H600" s="2">
        <v>20000</v>
      </c>
      <c r="I600" s="61">
        <f t="shared" si="9"/>
        <v>91564</v>
      </c>
      <c r="J600" s="8"/>
      <c r="K600" s="9"/>
      <c r="L600" s="10"/>
      <c r="M600" s="11">
        <v>0</v>
      </c>
      <c r="N600" s="6"/>
      <c r="O600" s="12"/>
      <c r="P600" s="6">
        <v>5</v>
      </c>
      <c r="Q600" s="6" t="s">
        <v>487</v>
      </c>
      <c r="R600" s="53" t="s">
        <v>1734</v>
      </c>
    </row>
    <row r="601" spans="1:18" x14ac:dyDescent="0.25">
      <c r="A601" s="13">
        <v>4</v>
      </c>
      <c r="B601" s="3" t="s">
        <v>1075</v>
      </c>
      <c r="C601" s="4" t="s">
        <v>1</v>
      </c>
      <c r="D601" s="55">
        <v>45786</v>
      </c>
      <c r="E601" s="5" t="s">
        <v>1811</v>
      </c>
      <c r="F601" s="14"/>
      <c r="G601" s="32">
        <v>4.5781999999999998</v>
      </c>
      <c r="H601" s="13">
        <v>1000</v>
      </c>
      <c r="I601" s="61">
        <f t="shared" si="9"/>
        <v>4578.2</v>
      </c>
      <c r="J601" s="8"/>
      <c r="K601" s="9"/>
      <c r="L601" s="10"/>
      <c r="M601" s="15">
        <v>0</v>
      </c>
      <c r="N601" s="6"/>
      <c r="O601" s="12"/>
      <c r="P601" s="6">
        <v>5</v>
      </c>
      <c r="Q601" s="6" t="s">
        <v>487</v>
      </c>
      <c r="R601" s="53" t="s">
        <v>1734</v>
      </c>
    </row>
    <row r="602" spans="1:18" x14ac:dyDescent="0.25">
      <c r="A602" s="2">
        <v>5</v>
      </c>
      <c r="B602" s="3" t="s">
        <v>1076</v>
      </c>
      <c r="C602" s="4" t="s">
        <v>1</v>
      </c>
      <c r="D602" s="55">
        <v>45786</v>
      </c>
      <c r="E602" s="5" t="s">
        <v>1077</v>
      </c>
      <c r="F602" s="6"/>
      <c r="G602" s="7">
        <v>4.5781999999999998</v>
      </c>
      <c r="H602" s="2">
        <v>7000</v>
      </c>
      <c r="I602" s="61">
        <f t="shared" si="9"/>
        <v>32047.399999999998</v>
      </c>
      <c r="J602" s="8"/>
      <c r="K602" s="9"/>
      <c r="L602" s="10"/>
      <c r="M602" s="11">
        <v>0</v>
      </c>
      <c r="N602" s="6"/>
      <c r="O602" s="12"/>
      <c r="P602" s="6">
        <v>5</v>
      </c>
      <c r="Q602" s="6" t="s">
        <v>487</v>
      </c>
      <c r="R602" s="53" t="s">
        <v>1734</v>
      </c>
    </row>
    <row r="603" spans="1:18" x14ac:dyDescent="0.25">
      <c r="A603" s="2">
        <v>6</v>
      </c>
      <c r="B603" s="3" t="s">
        <v>1078</v>
      </c>
      <c r="C603" s="4" t="s">
        <v>1</v>
      </c>
      <c r="D603" s="55">
        <v>45786</v>
      </c>
      <c r="E603" s="5" t="s">
        <v>1812</v>
      </c>
      <c r="F603" s="6"/>
      <c r="G603" s="7">
        <v>4.5781999999999998</v>
      </c>
      <c r="H603" s="2">
        <v>7501</v>
      </c>
      <c r="I603" s="61">
        <f t="shared" si="9"/>
        <v>34341.078199999996</v>
      </c>
      <c r="J603" s="8"/>
      <c r="K603" s="9"/>
      <c r="L603" s="10"/>
      <c r="M603" s="11">
        <v>0</v>
      </c>
      <c r="N603" s="6"/>
      <c r="O603" s="12"/>
      <c r="P603" s="6">
        <v>5</v>
      </c>
      <c r="Q603" s="6" t="s">
        <v>487</v>
      </c>
      <c r="R603" s="53" t="s">
        <v>1734</v>
      </c>
    </row>
    <row r="604" spans="1:18" x14ac:dyDescent="0.25">
      <c r="A604" s="2">
        <v>7</v>
      </c>
      <c r="B604" s="3" t="s">
        <v>1079</v>
      </c>
      <c r="C604" s="4" t="s">
        <v>1</v>
      </c>
      <c r="D604" s="55">
        <v>45786</v>
      </c>
      <c r="E604" s="5" t="s">
        <v>1080</v>
      </c>
      <c r="F604" s="6"/>
      <c r="G604" s="7">
        <v>4.5781999999999998</v>
      </c>
      <c r="H604" s="2">
        <v>250</v>
      </c>
      <c r="I604" s="61">
        <f t="shared" si="9"/>
        <v>1144.55</v>
      </c>
      <c r="J604" s="8"/>
      <c r="K604" s="9"/>
      <c r="L604" s="10"/>
      <c r="M604" s="11">
        <v>0</v>
      </c>
      <c r="N604" s="6"/>
      <c r="O604" s="12"/>
      <c r="P604" s="6">
        <v>5</v>
      </c>
      <c r="Q604" s="6" t="s">
        <v>487</v>
      </c>
      <c r="R604" s="53" t="s">
        <v>1734</v>
      </c>
    </row>
    <row r="605" spans="1:18" x14ac:dyDescent="0.25">
      <c r="A605" s="13">
        <v>8</v>
      </c>
      <c r="B605" s="3" t="s">
        <v>1081</v>
      </c>
      <c r="C605" s="4" t="s">
        <v>1</v>
      </c>
      <c r="D605" s="55">
        <v>45786</v>
      </c>
      <c r="E605" s="5" t="s">
        <v>30</v>
      </c>
      <c r="F605" s="14"/>
      <c r="G605" s="32">
        <v>4.5781999999999998</v>
      </c>
      <c r="H605" s="13">
        <v>10000</v>
      </c>
      <c r="I605" s="61">
        <f t="shared" si="9"/>
        <v>45782</v>
      </c>
      <c r="J605" s="8"/>
      <c r="K605" s="9"/>
      <c r="L605" s="10"/>
      <c r="M605" s="15">
        <v>0</v>
      </c>
      <c r="N605" s="6"/>
      <c r="O605" s="12"/>
      <c r="P605" s="6">
        <v>5</v>
      </c>
      <c r="Q605" s="6" t="s">
        <v>487</v>
      </c>
      <c r="R605" s="53" t="s">
        <v>1734</v>
      </c>
    </row>
    <row r="606" spans="1:18" x14ac:dyDescent="0.25">
      <c r="A606" s="2">
        <v>9</v>
      </c>
      <c r="B606" s="16" t="s">
        <v>1082</v>
      </c>
      <c r="C606" s="4" t="s">
        <v>1</v>
      </c>
      <c r="D606" s="55">
        <v>45786</v>
      </c>
      <c r="E606" s="17" t="s">
        <v>1083</v>
      </c>
      <c r="F606" s="6"/>
      <c r="G606" s="7">
        <v>4.8013000000000003</v>
      </c>
      <c r="H606" s="2">
        <v>50000</v>
      </c>
      <c r="I606" s="61">
        <f t="shared" si="9"/>
        <v>240065.00000000003</v>
      </c>
      <c r="J606" s="8"/>
      <c r="K606" s="9" t="s">
        <v>1084</v>
      </c>
      <c r="L606" s="10"/>
      <c r="M606" s="11">
        <v>0</v>
      </c>
      <c r="N606" s="6"/>
      <c r="O606" s="12"/>
      <c r="P606" s="6">
        <v>5</v>
      </c>
      <c r="Q606" s="6" t="s">
        <v>487</v>
      </c>
      <c r="R606" s="53" t="s">
        <v>1734</v>
      </c>
    </row>
    <row r="607" spans="1:18" x14ac:dyDescent="0.25">
      <c r="A607" s="2">
        <v>10</v>
      </c>
      <c r="B607" s="16" t="s">
        <v>1085</v>
      </c>
      <c r="C607" s="4" t="s">
        <v>1</v>
      </c>
      <c r="D607" s="55">
        <v>45786</v>
      </c>
      <c r="E607" s="17" t="s">
        <v>1086</v>
      </c>
      <c r="F607" s="6"/>
      <c r="G607" s="7">
        <v>4.8013000000000003</v>
      </c>
      <c r="H607" s="2">
        <v>50001</v>
      </c>
      <c r="I607" s="61">
        <f t="shared" si="9"/>
        <v>240069.80130000002</v>
      </c>
      <c r="J607" s="8"/>
      <c r="K607" s="9" t="s">
        <v>1087</v>
      </c>
      <c r="L607" s="10"/>
      <c r="M607" s="11">
        <v>0</v>
      </c>
      <c r="N607" s="6"/>
      <c r="O607" s="12"/>
      <c r="P607" s="6">
        <v>5</v>
      </c>
      <c r="Q607" s="6" t="s">
        <v>487</v>
      </c>
      <c r="R607" s="53" t="s">
        <v>1734</v>
      </c>
    </row>
    <row r="608" spans="1:18" x14ac:dyDescent="0.25">
      <c r="A608" s="2">
        <v>11</v>
      </c>
      <c r="B608" s="3" t="s">
        <v>1088</v>
      </c>
      <c r="C608" s="4" t="s">
        <v>1</v>
      </c>
      <c r="D608" s="55">
        <v>45786</v>
      </c>
      <c r="E608" s="5" t="s">
        <v>1089</v>
      </c>
      <c r="F608" s="6"/>
      <c r="G608" s="7">
        <v>4.5781999999999998</v>
      </c>
      <c r="H608" s="2">
        <v>7501</v>
      </c>
      <c r="I608" s="61">
        <f t="shared" si="9"/>
        <v>34341.078199999996</v>
      </c>
      <c r="J608" s="8"/>
      <c r="K608" s="9"/>
      <c r="L608" s="10"/>
      <c r="M608" s="11">
        <v>0</v>
      </c>
      <c r="N608" s="6"/>
      <c r="O608" s="12"/>
      <c r="P608" s="6">
        <v>5</v>
      </c>
      <c r="Q608" s="6" t="s">
        <v>487</v>
      </c>
      <c r="R608" s="53" t="s">
        <v>1734</v>
      </c>
    </row>
    <row r="609" spans="1:18" x14ac:dyDescent="0.25">
      <c r="A609" s="2">
        <v>12</v>
      </c>
      <c r="B609" s="16" t="s">
        <v>1090</v>
      </c>
      <c r="C609" s="4" t="s">
        <v>1</v>
      </c>
      <c r="D609" s="55">
        <v>45786</v>
      </c>
      <c r="E609" s="17" t="s">
        <v>1091</v>
      </c>
      <c r="F609" s="6"/>
      <c r="G609" s="7">
        <v>4.8013000000000003</v>
      </c>
      <c r="H609" s="2">
        <v>10000</v>
      </c>
      <c r="I609" s="61">
        <f t="shared" si="9"/>
        <v>48013</v>
      </c>
      <c r="J609" s="8"/>
      <c r="K609" s="9"/>
      <c r="L609" s="10"/>
      <c r="M609" s="11">
        <v>0</v>
      </c>
      <c r="N609" s="6"/>
      <c r="O609" s="12"/>
      <c r="P609" s="6">
        <v>5</v>
      </c>
      <c r="Q609" s="6" t="s">
        <v>487</v>
      </c>
      <c r="R609" s="53" t="s">
        <v>1734</v>
      </c>
    </row>
    <row r="610" spans="1:18" x14ac:dyDescent="0.25">
      <c r="A610" s="2">
        <v>13</v>
      </c>
      <c r="B610" s="16" t="s">
        <v>1092</v>
      </c>
      <c r="C610" s="4" t="s">
        <v>1</v>
      </c>
      <c r="D610" s="55">
        <v>45786</v>
      </c>
      <c r="E610" s="17" t="s">
        <v>1093</v>
      </c>
      <c r="F610" s="6"/>
      <c r="G610" s="7">
        <v>4.8013000000000003</v>
      </c>
      <c r="H610" s="2">
        <v>7501</v>
      </c>
      <c r="I610" s="61">
        <f t="shared" si="9"/>
        <v>36014.551299999999</v>
      </c>
      <c r="J610" s="8"/>
      <c r="K610" s="9"/>
      <c r="L610" s="10"/>
      <c r="M610" s="11">
        <v>0</v>
      </c>
      <c r="N610" s="6"/>
      <c r="O610" s="12"/>
      <c r="P610" s="6">
        <v>5</v>
      </c>
      <c r="Q610" s="6" t="s">
        <v>487</v>
      </c>
      <c r="R610" s="53" t="s">
        <v>1734</v>
      </c>
    </row>
    <row r="611" spans="1:18" x14ac:dyDescent="0.25">
      <c r="A611" s="2">
        <v>14</v>
      </c>
      <c r="B611" s="3" t="s">
        <v>1094</v>
      </c>
      <c r="C611" s="4" t="s">
        <v>1</v>
      </c>
      <c r="D611" s="55">
        <v>45786</v>
      </c>
      <c r="E611" s="5" t="s">
        <v>1813</v>
      </c>
      <c r="F611" s="6"/>
      <c r="G611" s="7">
        <v>4.5781999999999998</v>
      </c>
      <c r="H611" s="2">
        <v>7000</v>
      </c>
      <c r="I611" s="61">
        <f t="shared" si="9"/>
        <v>32047.399999999998</v>
      </c>
      <c r="J611" s="8"/>
      <c r="K611" s="9"/>
      <c r="L611" s="10"/>
      <c r="M611" s="11">
        <v>0</v>
      </c>
      <c r="N611" s="6"/>
      <c r="O611" s="12"/>
      <c r="P611" s="6">
        <v>5</v>
      </c>
      <c r="Q611" s="6" t="s">
        <v>487</v>
      </c>
      <c r="R611" s="53" t="s">
        <v>1734</v>
      </c>
    </row>
    <row r="612" spans="1:18" x14ac:dyDescent="0.25">
      <c r="A612" s="2">
        <v>15</v>
      </c>
      <c r="B612" s="3" t="s">
        <v>1095</v>
      </c>
      <c r="C612" s="4" t="s">
        <v>1</v>
      </c>
      <c r="D612" s="55">
        <v>45786</v>
      </c>
      <c r="E612" s="5" t="s">
        <v>1096</v>
      </c>
      <c r="F612" s="6"/>
      <c r="G612" s="7">
        <v>4.5781999999999998</v>
      </c>
      <c r="H612" s="2">
        <v>3500</v>
      </c>
      <c r="I612" s="61">
        <f t="shared" si="9"/>
        <v>16023.699999999999</v>
      </c>
      <c r="J612" s="8"/>
      <c r="K612" s="9"/>
      <c r="L612" s="10"/>
      <c r="M612" s="11">
        <v>0</v>
      </c>
      <c r="N612" s="6"/>
      <c r="O612" s="12"/>
      <c r="P612" s="6">
        <v>5</v>
      </c>
      <c r="Q612" s="6" t="s">
        <v>487</v>
      </c>
      <c r="R612" s="53" t="s">
        <v>1734</v>
      </c>
    </row>
    <row r="613" spans="1:18" x14ac:dyDescent="0.25">
      <c r="A613" s="2">
        <v>16</v>
      </c>
      <c r="B613" s="16" t="s">
        <v>1097</v>
      </c>
      <c r="C613" s="4" t="s">
        <v>1</v>
      </c>
      <c r="D613" s="55">
        <v>45786</v>
      </c>
      <c r="E613" s="17" t="s">
        <v>1098</v>
      </c>
      <c r="F613" s="6"/>
      <c r="G613" s="7">
        <v>4.8013000000000003</v>
      </c>
      <c r="H613" s="2">
        <v>2000</v>
      </c>
      <c r="I613" s="61">
        <f t="shared" si="9"/>
        <v>9602.6</v>
      </c>
      <c r="J613" s="8"/>
      <c r="K613" s="9" t="s">
        <v>1099</v>
      </c>
      <c r="L613" s="10"/>
      <c r="M613" s="11">
        <v>0</v>
      </c>
      <c r="N613" s="6"/>
      <c r="O613" s="12"/>
      <c r="P613" s="6">
        <v>5</v>
      </c>
      <c r="Q613" s="6" t="s">
        <v>487</v>
      </c>
      <c r="R613" s="53" t="s">
        <v>1734</v>
      </c>
    </row>
    <row r="614" spans="1:18" x14ac:dyDescent="0.25">
      <c r="A614" s="2">
        <v>17</v>
      </c>
      <c r="B614" s="3" t="s">
        <v>1100</v>
      </c>
      <c r="C614" s="4" t="s">
        <v>1</v>
      </c>
      <c r="D614" s="55">
        <v>45786</v>
      </c>
      <c r="E614" s="5" t="s">
        <v>1814</v>
      </c>
      <c r="F614" s="6"/>
      <c r="G614" s="7">
        <v>4.8013000000000003</v>
      </c>
      <c r="H614" s="2">
        <v>7501</v>
      </c>
      <c r="I614" s="61">
        <f t="shared" si="9"/>
        <v>36014.551299999999</v>
      </c>
      <c r="J614" s="8"/>
      <c r="K614" s="9"/>
      <c r="L614" s="10"/>
      <c r="M614" s="11">
        <v>0</v>
      </c>
      <c r="N614" s="6"/>
      <c r="O614" s="12"/>
      <c r="P614" s="6">
        <v>5</v>
      </c>
      <c r="Q614" s="6" t="s">
        <v>487</v>
      </c>
      <c r="R614" s="53" t="s">
        <v>1734</v>
      </c>
    </row>
    <row r="615" spans="1:18" x14ac:dyDescent="0.25">
      <c r="A615" s="2">
        <v>18</v>
      </c>
      <c r="B615" s="16" t="s">
        <v>1101</v>
      </c>
      <c r="C615" s="4" t="s">
        <v>1</v>
      </c>
      <c r="D615" s="55">
        <v>45786</v>
      </c>
      <c r="E615" s="17" t="s">
        <v>1102</v>
      </c>
      <c r="F615" s="6"/>
      <c r="G615" s="7">
        <v>4.8013000000000003</v>
      </c>
      <c r="H615" s="2">
        <v>4000</v>
      </c>
      <c r="I615" s="61">
        <f t="shared" si="9"/>
        <v>19205.2</v>
      </c>
      <c r="J615" s="8"/>
      <c r="K615" s="9"/>
      <c r="L615" s="10"/>
      <c r="M615" s="11">
        <v>0</v>
      </c>
      <c r="N615" s="6"/>
      <c r="O615" s="12"/>
      <c r="P615" s="6">
        <v>5</v>
      </c>
      <c r="Q615" s="6" t="s">
        <v>487</v>
      </c>
      <c r="R615" s="53" t="s">
        <v>1734</v>
      </c>
    </row>
    <row r="616" spans="1:18" x14ac:dyDescent="0.25">
      <c r="A616" s="2">
        <v>19</v>
      </c>
      <c r="B616" s="16" t="s">
        <v>1103</v>
      </c>
      <c r="C616" s="4" t="s">
        <v>1</v>
      </c>
      <c r="D616" s="55">
        <v>45786</v>
      </c>
      <c r="E616" s="17" t="s">
        <v>1104</v>
      </c>
      <c r="F616" s="6"/>
      <c r="G616" s="7">
        <v>4.8013000000000003</v>
      </c>
      <c r="H616" s="2">
        <v>500</v>
      </c>
      <c r="I616" s="61">
        <f t="shared" si="9"/>
        <v>2400.65</v>
      </c>
      <c r="J616" s="8"/>
      <c r="K616" s="9"/>
      <c r="L616" s="10"/>
      <c r="M616" s="11">
        <v>0</v>
      </c>
      <c r="N616" s="6"/>
      <c r="O616" s="12"/>
      <c r="P616" s="6">
        <v>5</v>
      </c>
      <c r="Q616" s="6" t="s">
        <v>487</v>
      </c>
      <c r="R616" s="53" t="s">
        <v>1734</v>
      </c>
    </row>
    <row r="617" spans="1:18" x14ac:dyDescent="0.25">
      <c r="A617" s="2">
        <v>20</v>
      </c>
      <c r="B617" s="3" t="s">
        <v>1105</v>
      </c>
      <c r="C617" s="4" t="s">
        <v>1</v>
      </c>
      <c r="D617" s="55">
        <v>45786</v>
      </c>
      <c r="E617" s="5" t="s">
        <v>1106</v>
      </c>
      <c r="F617" s="6"/>
      <c r="G617" s="7">
        <v>4.8013000000000003</v>
      </c>
      <c r="H617" s="2">
        <v>2000</v>
      </c>
      <c r="I617" s="61">
        <f t="shared" si="9"/>
        <v>9602.6</v>
      </c>
      <c r="J617" s="8"/>
      <c r="K617" s="9"/>
      <c r="L617" s="10"/>
      <c r="M617" s="11">
        <v>0</v>
      </c>
      <c r="N617" s="6"/>
      <c r="O617" s="12"/>
      <c r="P617" s="6">
        <v>5</v>
      </c>
      <c r="Q617" s="6" t="s">
        <v>487</v>
      </c>
      <c r="R617" s="53" t="s">
        <v>1734</v>
      </c>
    </row>
    <row r="618" spans="1:18" x14ac:dyDescent="0.25">
      <c r="A618" s="2">
        <v>21</v>
      </c>
      <c r="B618" s="3" t="s">
        <v>1107</v>
      </c>
      <c r="C618" s="4" t="s">
        <v>1</v>
      </c>
      <c r="D618" s="55">
        <v>45786</v>
      </c>
      <c r="E618" s="5" t="s">
        <v>1815</v>
      </c>
      <c r="F618" s="6"/>
      <c r="G618" s="7">
        <v>4.8013000000000003</v>
      </c>
      <c r="H618" s="2">
        <v>10000</v>
      </c>
      <c r="I618" s="61">
        <f t="shared" si="9"/>
        <v>48013</v>
      </c>
      <c r="J618" s="8"/>
      <c r="K618" s="9"/>
      <c r="L618" s="10"/>
      <c r="M618" s="11">
        <v>0</v>
      </c>
      <c r="N618" s="6"/>
      <c r="O618" s="12"/>
      <c r="P618" s="6">
        <v>5</v>
      </c>
      <c r="Q618" s="6" t="s">
        <v>487</v>
      </c>
      <c r="R618" s="53" t="s">
        <v>1734</v>
      </c>
    </row>
    <row r="619" spans="1:18" x14ac:dyDescent="0.25">
      <c r="A619" s="2">
        <v>22</v>
      </c>
      <c r="B619" s="16" t="s">
        <v>1108</v>
      </c>
      <c r="C619" s="4" t="s">
        <v>1</v>
      </c>
      <c r="D619" s="55">
        <v>45786</v>
      </c>
      <c r="E619" s="17" t="s">
        <v>1109</v>
      </c>
      <c r="F619" s="6"/>
      <c r="G619" s="7">
        <v>4.8013000000000003</v>
      </c>
      <c r="H619" s="2">
        <v>7000</v>
      </c>
      <c r="I619" s="61">
        <f t="shared" si="9"/>
        <v>33609.100000000006</v>
      </c>
      <c r="J619" s="8"/>
      <c r="K619" s="9"/>
      <c r="L619" s="10"/>
      <c r="M619" s="11">
        <v>0</v>
      </c>
      <c r="N619" s="6"/>
      <c r="O619" s="12"/>
      <c r="P619" s="6">
        <v>5</v>
      </c>
      <c r="Q619" s="6" t="s">
        <v>487</v>
      </c>
      <c r="R619" s="53" t="s">
        <v>1734</v>
      </c>
    </row>
    <row r="620" spans="1:18" x14ac:dyDescent="0.25">
      <c r="A620" s="2">
        <v>23</v>
      </c>
      <c r="B620" s="16" t="s">
        <v>1110</v>
      </c>
      <c r="C620" s="4" t="s">
        <v>1</v>
      </c>
      <c r="D620" s="55">
        <v>45786</v>
      </c>
      <c r="E620" s="17" t="s">
        <v>1111</v>
      </c>
      <c r="F620" s="6"/>
      <c r="G620" s="7">
        <v>4.8013000000000003</v>
      </c>
      <c r="H620" s="2">
        <v>5000</v>
      </c>
      <c r="I620" s="61">
        <f t="shared" si="9"/>
        <v>24006.5</v>
      </c>
      <c r="J620" s="8"/>
      <c r="K620" s="9"/>
      <c r="L620" s="10"/>
      <c r="M620" s="11">
        <v>0</v>
      </c>
      <c r="N620" s="6"/>
      <c r="O620" s="12"/>
      <c r="P620" s="6">
        <v>5</v>
      </c>
      <c r="Q620" s="6" t="s">
        <v>487</v>
      </c>
      <c r="R620" s="53" t="s">
        <v>1734</v>
      </c>
    </row>
    <row r="621" spans="1:18" x14ac:dyDescent="0.25">
      <c r="A621" s="2">
        <v>25</v>
      </c>
      <c r="B621" s="16" t="s">
        <v>1112</v>
      </c>
      <c r="C621" s="4" t="s">
        <v>1</v>
      </c>
      <c r="D621" s="55">
        <v>45786</v>
      </c>
      <c r="E621" s="17" t="s">
        <v>1113</v>
      </c>
      <c r="F621" s="6"/>
      <c r="G621" s="7">
        <v>4.8013000000000003</v>
      </c>
      <c r="H621" s="2">
        <v>415</v>
      </c>
      <c r="I621" s="61">
        <f t="shared" si="9"/>
        <v>1992.5395000000001</v>
      </c>
      <c r="J621" s="8"/>
      <c r="K621" s="9"/>
      <c r="L621" s="10"/>
      <c r="M621" s="11">
        <v>0</v>
      </c>
      <c r="N621" s="6"/>
      <c r="O621" s="12"/>
      <c r="P621" s="6">
        <v>5</v>
      </c>
      <c r="Q621" s="6" t="s">
        <v>487</v>
      </c>
      <c r="R621" s="53" t="s">
        <v>1734</v>
      </c>
    </row>
    <row r="622" spans="1:18" x14ac:dyDescent="0.25">
      <c r="A622" s="2">
        <v>26</v>
      </c>
      <c r="B622" s="16" t="s">
        <v>1114</v>
      </c>
      <c r="C622" s="4" t="s">
        <v>1</v>
      </c>
      <c r="D622" s="55">
        <v>45786</v>
      </c>
      <c r="E622" s="17" t="s">
        <v>1115</v>
      </c>
      <c r="F622" s="6"/>
      <c r="G622" s="7">
        <v>4.8013000000000003</v>
      </c>
      <c r="H622" s="2">
        <v>50001</v>
      </c>
      <c r="I622" s="61">
        <f t="shared" si="9"/>
        <v>240069.80130000002</v>
      </c>
      <c r="J622" s="8"/>
      <c r="K622" s="9"/>
      <c r="L622" s="10"/>
      <c r="M622" s="11">
        <v>0</v>
      </c>
      <c r="N622" s="6"/>
      <c r="O622" s="12"/>
      <c r="P622" s="6">
        <v>5</v>
      </c>
      <c r="Q622" s="6" t="s">
        <v>487</v>
      </c>
      <c r="R622" s="53" t="s">
        <v>1734</v>
      </c>
    </row>
    <row r="623" spans="1:18" x14ac:dyDescent="0.25">
      <c r="A623" s="2">
        <v>27</v>
      </c>
      <c r="B623" s="16" t="s">
        <v>1116</v>
      </c>
      <c r="C623" s="4" t="s">
        <v>1</v>
      </c>
      <c r="D623" s="55">
        <v>45786</v>
      </c>
      <c r="E623" s="17" t="s">
        <v>82</v>
      </c>
      <c r="F623" s="6"/>
      <c r="G623" s="7">
        <v>4.8013000000000003</v>
      </c>
      <c r="H623" s="2">
        <v>0</v>
      </c>
      <c r="I623" s="61" t="str">
        <f t="shared" si="9"/>
        <v/>
      </c>
      <c r="J623" s="8"/>
      <c r="K623" s="9"/>
      <c r="L623" s="10"/>
      <c r="M623" s="11">
        <v>0</v>
      </c>
      <c r="N623" s="6"/>
      <c r="O623" s="12"/>
      <c r="P623" s="6">
        <v>5</v>
      </c>
      <c r="Q623" s="6" t="s">
        <v>487</v>
      </c>
      <c r="R623" s="53" t="s">
        <v>1734</v>
      </c>
    </row>
    <row r="624" spans="1:18" ht="25.5" x14ac:dyDescent="0.25">
      <c r="A624" s="13">
        <v>28</v>
      </c>
      <c r="B624" s="3" t="s">
        <v>1117</v>
      </c>
      <c r="C624" s="4" t="s">
        <v>1</v>
      </c>
      <c r="D624" s="55">
        <v>45786</v>
      </c>
      <c r="E624" s="5" t="s">
        <v>1816</v>
      </c>
      <c r="F624" s="14"/>
      <c r="G624" s="7">
        <v>4.8013000000000003</v>
      </c>
      <c r="H624" s="13">
        <v>10000</v>
      </c>
      <c r="I624" s="61">
        <f t="shared" si="9"/>
        <v>48013</v>
      </c>
      <c r="J624" s="8"/>
      <c r="K624" s="9"/>
      <c r="L624" s="10"/>
      <c r="M624" s="15">
        <v>0</v>
      </c>
      <c r="N624" s="6"/>
      <c r="O624" s="12"/>
      <c r="P624" s="6">
        <v>5</v>
      </c>
      <c r="Q624" s="6" t="s">
        <v>487</v>
      </c>
      <c r="R624" s="53" t="s">
        <v>1734</v>
      </c>
    </row>
    <row r="625" spans="1:18" ht="25.5" x14ac:dyDescent="0.25">
      <c r="A625" s="2">
        <v>29</v>
      </c>
      <c r="B625" s="3" t="s">
        <v>1118</v>
      </c>
      <c r="C625" s="4" t="s">
        <v>1</v>
      </c>
      <c r="D625" s="55">
        <v>45786</v>
      </c>
      <c r="E625" s="5" t="s">
        <v>1816</v>
      </c>
      <c r="F625" s="6"/>
      <c r="G625" s="7">
        <v>4.8013000000000003</v>
      </c>
      <c r="H625" s="2">
        <v>7500</v>
      </c>
      <c r="I625" s="61">
        <f t="shared" si="9"/>
        <v>36009.75</v>
      </c>
      <c r="J625" s="8"/>
      <c r="K625" s="9"/>
      <c r="L625" s="10"/>
      <c r="M625" s="11">
        <v>0</v>
      </c>
      <c r="N625" s="6"/>
      <c r="O625" s="12"/>
      <c r="P625" s="6">
        <v>5</v>
      </c>
      <c r="Q625" s="6" t="s">
        <v>487</v>
      </c>
      <c r="R625" s="53" t="s">
        <v>1734</v>
      </c>
    </row>
    <row r="626" spans="1:18" x14ac:dyDescent="0.25">
      <c r="A626" s="2">
        <v>30</v>
      </c>
      <c r="B626" s="3" t="s">
        <v>1119</v>
      </c>
      <c r="C626" s="4" t="s">
        <v>1</v>
      </c>
      <c r="D626" s="55">
        <v>45786</v>
      </c>
      <c r="E626" s="5" t="s">
        <v>1120</v>
      </c>
      <c r="F626" s="6"/>
      <c r="G626" s="7">
        <v>4.8013000000000003</v>
      </c>
      <c r="H626" s="2">
        <v>500</v>
      </c>
      <c r="I626" s="61">
        <f t="shared" si="9"/>
        <v>2400.65</v>
      </c>
      <c r="J626" s="8"/>
      <c r="K626" s="9"/>
      <c r="L626" s="10"/>
      <c r="M626" s="11">
        <v>0</v>
      </c>
      <c r="N626" s="6"/>
      <c r="O626" s="12"/>
      <c r="P626" s="6">
        <v>5</v>
      </c>
      <c r="Q626" s="6" t="s">
        <v>487</v>
      </c>
      <c r="R626" s="53" t="s">
        <v>1734</v>
      </c>
    </row>
    <row r="627" spans="1:18" x14ac:dyDescent="0.25">
      <c r="A627" s="2">
        <v>31</v>
      </c>
      <c r="B627" s="3" t="s">
        <v>1121</v>
      </c>
      <c r="C627" s="4" t="s">
        <v>1</v>
      </c>
      <c r="D627" s="55">
        <v>45786</v>
      </c>
      <c r="E627" s="5" t="s">
        <v>1122</v>
      </c>
      <c r="F627" s="6"/>
      <c r="G627" s="7">
        <v>4.8013000000000003</v>
      </c>
      <c r="H627" s="2">
        <v>7500</v>
      </c>
      <c r="I627" s="61">
        <f t="shared" si="9"/>
        <v>36009.75</v>
      </c>
      <c r="J627" s="8"/>
      <c r="K627" s="9"/>
      <c r="L627" s="10"/>
      <c r="M627" s="11">
        <v>0</v>
      </c>
      <c r="N627" s="6"/>
      <c r="O627" s="12"/>
      <c r="P627" s="6">
        <v>5</v>
      </c>
      <c r="Q627" s="6" t="s">
        <v>487</v>
      </c>
      <c r="R627" s="53" t="s">
        <v>1736</v>
      </c>
    </row>
    <row r="628" spans="1:18" x14ac:dyDescent="0.25">
      <c r="A628" s="2">
        <v>32</v>
      </c>
      <c r="B628" s="3" t="s">
        <v>1123</v>
      </c>
      <c r="C628" s="4" t="s">
        <v>1</v>
      </c>
      <c r="D628" s="55">
        <v>45786</v>
      </c>
      <c r="E628" s="5" t="s">
        <v>1801</v>
      </c>
      <c r="F628" s="6"/>
      <c r="G628" s="7">
        <v>4.8013000000000003</v>
      </c>
      <c r="H628" s="2">
        <v>40000</v>
      </c>
      <c r="I628" s="61">
        <f t="shared" si="9"/>
        <v>192052</v>
      </c>
      <c r="J628" s="8"/>
      <c r="K628" s="9"/>
      <c r="L628" s="10"/>
      <c r="M628" s="11">
        <v>0</v>
      </c>
      <c r="N628" s="6"/>
      <c r="O628" s="12"/>
      <c r="P628" s="6">
        <v>5</v>
      </c>
      <c r="Q628" s="6" t="s">
        <v>487</v>
      </c>
      <c r="R628" s="53" t="s">
        <v>1736</v>
      </c>
    </row>
    <row r="629" spans="1:18" x14ac:dyDescent="0.25">
      <c r="A629" s="2">
        <v>33</v>
      </c>
      <c r="B629" s="3" t="s">
        <v>1124</v>
      </c>
      <c r="C629" s="4" t="s">
        <v>1</v>
      </c>
      <c r="D629" s="55">
        <v>45786</v>
      </c>
      <c r="E629" s="5" t="s">
        <v>1125</v>
      </c>
      <c r="F629" s="6"/>
      <c r="G629" s="7">
        <v>4.8013000000000003</v>
      </c>
      <c r="H629" s="2">
        <v>4000</v>
      </c>
      <c r="I629" s="61">
        <f t="shared" si="9"/>
        <v>19205.2</v>
      </c>
      <c r="J629" s="8"/>
      <c r="K629" s="9"/>
      <c r="L629" s="10"/>
      <c r="M629" s="11">
        <v>0</v>
      </c>
      <c r="N629" s="6"/>
      <c r="O629" s="12"/>
      <c r="P629" s="6">
        <v>5</v>
      </c>
      <c r="Q629" s="6" t="s">
        <v>487</v>
      </c>
      <c r="R629" s="53" t="s">
        <v>1736</v>
      </c>
    </row>
    <row r="630" spans="1:18" x14ac:dyDescent="0.25">
      <c r="A630" s="2">
        <v>34</v>
      </c>
      <c r="B630" s="3" t="s">
        <v>1126</v>
      </c>
      <c r="C630" s="4" t="s">
        <v>1</v>
      </c>
      <c r="D630" s="55">
        <v>45786</v>
      </c>
      <c r="E630" s="5" t="s">
        <v>1127</v>
      </c>
      <c r="F630" s="6"/>
      <c r="G630" s="7">
        <v>4.8013000000000003</v>
      </c>
      <c r="H630" s="2">
        <v>3000</v>
      </c>
      <c r="I630" s="61">
        <f t="shared" si="9"/>
        <v>14403.900000000001</v>
      </c>
      <c r="J630" s="8"/>
      <c r="K630" s="9"/>
      <c r="L630" s="10"/>
      <c r="M630" s="11">
        <v>0</v>
      </c>
      <c r="N630" s="6"/>
      <c r="O630" s="12"/>
      <c r="P630" s="6">
        <v>5</v>
      </c>
      <c r="Q630" s="6" t="s">
        <v>487</v>
      </c>
      <c r="R630" s="53" t="s">
        <v>1736</v>
      </c>
    </row>
    <row r="631" spans="1:18" x14ac:dyDescent="0.25">
      <c r="A631" s="2">
        <v>35</v>
      </c>
      <c r="B631" s="3" t="s">
        <v>1128</v>
      </c>
      <c r="C631" s="4" t="s">
        <v>1</v>
      </c>
      <c r="D631" s="55">
        <v>45786</v>
      </c>
      <c r="E631" s="5" t="s">
        <v>1129</v>
      </c>
      <c r="F631" s="6"/>
      <c r="G631" s="7">
        <v>4.8013000000000003</v>
      </c>
      <c r="H631" s="2">
        <v>300</v>
      </c>
      <c r="I631" s="61">
        <f t="shared" si="9"/>
        <v>1440.39</v>
      </c>
      <c r="J631" s="8"/>
      <c r="K631" s="9"/>
      <c r="L631" s="10"/>
      <c r="M631" s="11">
        <v>0</v>
      </c>
      <c r="N631" s="6"/>
      <c r="O631" s="12"/>
      <c r="P631" s="6">
        <v>5</v>
      </c>
      <c r="Q631" s="6" t="s">
        <v>487</v>
      </c>
      <c r="R631" s="53" t="s">
        <v>1736</v>
      </c>
    </row>
    <row r="632" spans="1:18" x14ac:dyDescent="0.25">
      <c r="A632" s="2"/>
      <c r="B632" s="3"/>
      <c r="C632" s="4"/>
      <c r="D632" s="58"/>
      <c r="E632" s="5"/>
      <c r="F632" s="14"/>
      <c r="G632" s="32"/>
      <c r="H632" s="13"/>
      <c r="I632" s="62"/>
      <c r="J632" s="8"/>
      <c r="K632" s="9"/>
      <c r="L632" s="10"/>
      <c r="M632" s="15"/>
      <c r="N632" s="6"/>
      <c r="O632" s="12"/>
      <c r="P632" s="6"/>
      <c r="Q632" s="6"/>
    </row>
    <row r="633" spans="1:18" x14ac:dyDescent="0.25">
      <c r="A633" s="2"/>
      <c r="B633" s="3"/>
      <c r="C633" s="4"/>
      <c r="D633" s="58"/>
      <c r="E633" s="5"/>
      <c r="F633" s="14"/>
      <c r="G633" s="32"/>
      <c r="H633" s="13"/>
      <c r="I633" s="62"/>
      <c r="J633" s="8"/>
      <c r="K633" s="9"/>
      <c r="L633" s="10"/>
      <c r="M633" s="15"/>
      <c r="N633" s="6"/>
      <c r="O633" s="12"/>
      <c r="P633" s="6"/>
      <c r="Q633" s="6"/>
    </row>
    <row r="634" spans="1:18" x14ac:dyDescent="0.25">
      <c r="A634" s="2"/>
      <c r="B634" s="3"/>
      <c r="C634" s="4"/>
      <c r="D634" s="58"/>
      <c r="E634" s="5"/>
      <c r="F634" s="6"/>
      <c r="G634" s="7"/>
      <c r="H634" s="2"/>
      <c r="I634" s="62"/>
      <c r="J634" s="8"/>
      <c r="K634" s="9"/>
      <c r="L634" s="10"/>
      <c r="M634" s="11"/>
      <c r="N634" s="6"/>
      <c r="O634" s="12"/>
      <c r="P634" s="6"/>
      <c r="Q634" s="6"/>
    </row>
    <row r="635" spans="1:18" x14ac:dyDescent="0.25">
      <c r="A635" s="2"/>
      <c r="B635" s="3"/>
      <c r="C635" s="4"/>
      <c r="D635" s="58"/>
      <c r="E635" s="5"/>
      <c r="F635" s="6"/>
      <c r="G635" s="7"/>
      <c r="H635" s="2"/>
      <c r="I635" s="62"/>
      <c r="J635" s="8"/>
      <c r="K635" s="9"/>
      <c r="L635" s="10"/>
      <c r="M635" s="11"/>
      <c r="N635" s="6"/>
      <c r="O635" s="12"/>
      <c r="P635" s="6"/>
      <c r="Q635" s="6"/>
    </row>
    <row r="636" spans="1:18" x14ac:dyDescent="0.25">
      <c r="A636" s="2"/>
      <c r="B636" s="3"/>
      <c r="C636" s="4"/>
      <c r="D636" s="58"/>
      <c r="E636" s="5"/>
      <c r="F636" s="6"/>
      <c r="G636" s="7"/>
      <c r="H636" s="2"/>
      <c r="I636" s="62"/>
      <c r="J636" s="8"/>
      <c r="K636" s="9"/>
      <c r="L636" s="10"/>
      <c r="M636" s="11"/>
      <c r="N636" s="6"/>
      <c r="O636" s="12"/>
      <c r="P636" s="6"/>
      <c r="Q636" s="6"/>
    </row>
    <row r="637" spans="1:18" x14ac:dyDescent="0.25">
      <c r="A637" s="2"/>
      <c r="B637" s="3"/>
      <c r="C637" s="4"/>
      <c r="D637" s="58"/>
      <c r="E637" s="5"/>
      <c r="F637" s="6"/>
      <c r="G637" s="7"/>
      <c r="H637" s="2"/>
      <c r="I637" s="62"/>
      <c r="J637" s="8"/>
      <c r="K637" s="9"/>
      <c r="L637" s="10"/>
      <c r="M637" s="11"/>
      <c r="N637" s="6"/>
      <c r="O637" s="12"/>
      <c r="P637" s="6"/>
      <c r="Q637" s="6"/>
    </row>
    <row r="638" spans="1:18" x14ac:dyDescent="0.25">
      <c r="A638" s="2"/>
      <c r="B638" s="3"/>
      <c r="C638" s="4"/>
      <c r="D638" s="58"/>
      <c r="E638" s="5"/>
      <c r="F638" s="6"/>
      <c r="G638" s="7"/>
      <c r="H638" s="2"/>
      <c r="I638" s="62"/>
      <c r="J638" s="8"/>
      <c r="K638" s="9"/>
      <c r="L638" s="10"/>
      <c r="M638" s="11"/>
      <c r="N638" s="6"/>
      <c r="O638" s="12"/>
      <c r="P638" s="6"/>
      <c r="Q638" s="6"/>
    </row>
    <row r="639" spans="1:18" x14ac:dyDescent="0.25">
      <c r="A639" s="2"/>
      <c r="B639" s="3"/>
      <c r="C639" s="4"/>
      <c r="D639" s="58"/>
      <c r="E639" s="5"/>
      <c r="F639" s="6"/>
      <c r="G639" s="7"/>
      <c r="H639" s="2"/>
      <c r="I639" s="62"/>
      <c r="J639" s="8"/>
      <c r="K639" s="9"/>
      <c r="L639" s="10"/>
      <c r="M639" s="11"/>
      <c r="N639" s="6"/>
      <c r="O639" s="12"/>
      <c r="P639" s="6"/>
      <c r="Q639" s="6"/>
    </row>
    <row r="640" spans="1:18" x14ac:dyDescent="0.25">
      <c r="A640" s="2"/>
      <c r="B640" s="3"/>
      <c r="C640" s="4"/>
      <c r="D640" s="58"/>
      <c r="E640" s="5"/>
      <c r="F640" s="6"/>
      <c r="G640" s="7"/>
      <c r="H640" s="2"/>
      <c r="I640" s="62"/>
      <c r="J640" s="8"/>
      <c r="K640" s="9"/>
      <c r="L640" s="10"/>
      <c r="M640" s="11"/>
      <c r="N640" s="6"/>
      <c r="O640" s="12"/>
      <c r="P640" s="6"/>
      <c r="Q640" s="6"/>
    </row>
    <row r="641" spans="1:17" x14ac:dyDescent="0.25">
      <c r="A641" s="2"/>
      <c r="B641" s="3"/>
      <c r="C641" s="4"/>
      <c r="D641" s="58"/>
      <c r="E641" s="5"/>
      <c r="F641" s="6"/>
      <c r="G641" s="7"/>
      <c r="H641" s="2"/>
      <c r="I641" s="62"/>
      <c r="J641" s="8"/>
      <c r="K641" s="9"/>
      <c r="L641" s="10"/>
      <c r="M641" s="11"/>
      <c r="N641" s="6"/>
      <c r="O641" s="12"/>
      <c r="P641" s="6"/>
      <c r="Q641" s="6"/>
    </row>
    <row r="642" spans="1:17" x14ac:dyDescent="0.25">
      <c r="A642" s="2"/>
      <c r="B642" s="3"/>
      <c r="C642" s="4"/>
      <c r="D642" s="58"/>
      <c r="E642" s="5"/>
      <c r="F642" s="6"/>
      <c r="G642" s="7"/>
      <c r="H642" s="2"/>
      <c r="I642" s="62"/>
      <c r="J642" s="8"/>
      <c r="K642" s="9"/>
      <c r="L642" s="10"/>
      <c r="M642" s="11"/>
      <c r="N642" s="6"/>
      <c r="O642" s="12"/>
      <c r="P642" s="6"/>
      <c r="Q642" s="6"/>
    </row>
    <row r="643" spans="1:17" x14ac:dyDescent="0.25">
      <c r="A643" s="2"/>
      <c r="B643" s="3"/>
      <c r="C643" s="4"/>
      <c r="D643" s="58"/>
      <c r="E643" s="5"/>
      <c r="F643" s="6"/>
      <c r="G643" s="7"/>
      <c r="H643" s="2"/>
      <c r="I643" s="62"/>
      <c r="J643" s="8"/>
      <c r="K643" s="9"/>
      <c r="L643" s="10"/>
      <c r="M643" s="11"/>
      <c r="N643" s="6"/>
      <c r="O643" s="12"/>
      <c r="P643" s="6"/>
      <c r="Q643" s="6"/>
    </row>
    <row r="644" spans="1:17" x14ac:dyDescent="0.25">
      <c r="A644" s="2"/>
      <c r="B644" s="3"/>
      <c r="C644" s="4"/>
      <c r="D644" s="58"/>
      <c r="E644" s="5"/>
      <c r="F644" s="6"/>
      <c r="G644" s="7"/>
      <c r="H644" s="2"/>
      <c r="I644" s="62"/>
      <c r="J644" s="8"/>
      <c r="K644" s="9"/>
      <c r="L644" s="10"/>
      <c r="M644" s="11"/>
      <c r="N644" s="6"/>
      <c r="O644" s="12"/>
      <c r="P644" s="6"/>
      <c r="Q644" s="6"/>
    </row>
    <row r="645" spans="1:17" x14ac:dyDescent="0.25">
      <c r="A645" s="2"/>
      <c r="B645" s="3"/>
      <c r="C645" s="4"/>
      <c r="D645" s="58"/>
      <c r="E645" s="5"/>
      <c r="F645" s="6"/>
      <c r="G645" s="7"/>
      <c r="H645" s="2"/>
      <c r="I645" s="62"/>
      <c r="J645" s="8"/>
      <c r="K645" s="9"/>
      <c r="L645" s="10"/>
      <c r="M645" s="11"/>
      <c r="N645" s="6"/>
      <c r="O645" s="12"/>
      <c r="P645" s="6"/>
      <c r="Q645" s="6"/>
    </row>
    <row r="646" spans="1:17" x14ac:dyDescent="0.25">
      <c r="A646" s="2"/>
      <c r="B646" s="3"/>
      <c r="C646" s="4"/>
      <c r="D646" s="58"/>
      <c r="E646" s="5"/>
      <c r="F646" s="6"/>
      <c r="G646" s="7"/>
      <c r="H646" s="2"/>
      <c r="I646" s="62"/>
      <c r="J646" s="8"/>
      <c r="K646" s="9"/>
      <c r="L646" s="10"/>
      <c r="M646" s="11"/>
      <c r="N646" s="6"/>
      <c r="O646" s="12"/>
      <c r="P646" s="6"/>
      <c r="Q646" s="6"/>
    </row>
    <row r="647" spans="1:17" x14ac:dyDescent="0.25">
      <c r="A647" s="2"/>
      <c r="B647" s="3"/>
      <c r="C647" s="4"/>
      <c r="D647" s="58"/>
      <c r="E647" s="5"/>
      <c r="F647" s="6"/>
      <c r="G647" s="7"/>
      <c r="H647" s="2"/>
      <c r="I647" s="62"/>
      <c r="J647" s="8"/>
      <c r="K647" s="9"/>
      <c r="L647" s="10"/>
      <c r="M647" s="11"/>
      <c r="N647" s="6"/>
      <c r="O647" s="12"/>
      <c r="P647" s="6"/>
      <c r="Q647" s="6"/>
    </row>
    <row r="648" spans="1:17" x14ac:dyDescent="0.25">
      <c r="A648" s="2"/>
      <c r="B648" s="3"/>
      <c r="C648" s="4"/>
      <c r="D648" s="58"/>
      <c r="E648" s="5"/>
      <c r="F648" s="6"/>
      <c r="G648" s="7"/>
      <c r="H648" s="2"/>
      <c r="I648" s="62"/>
      <c r="J648" s="8"/>
      <c r="K648" s="9"/>
      <c r="L648" s="10"/>
      <c r="M648" s="11"/>
      <c r="N648" s="6"/>
      <c r="O648" s="12"/>
      <c r="P648" s="6"/>
      <c r="Q648" s="6"/>
    </row>
    <row r="649" spans="1:17" x14ac:dyDescent="0.25">
      <c r="A649" s="2"/>
      <c r="B649" s="3"/>
      <c r="C649" s="4"/>
      <c r="D649" s="58"/>
      <c r="E649" s="5"/>
      <c r="F649" s="6"/>
      <c r="G649" s="7"/>
      <c r="H649" s="2"/>
      <c r="I649" s="62"/>
      <c r="J649" s="8"/>
      <c r="K649" s="9"/>
      <c r="L649" s="10"/>
      <c r="M649" s="11"/>
      <c r="N649" s="6"/>
      <c r="O649" s="12"/>
      <c r="P649" s="6"/>
      <c r="Q649" s="6"/>
    </row>
    <row r="650" spans="1:17" x14ac:dyDescent="0.25">
      <c r="A650" s="2"/>
      <c r="B650" s="3"/>
      <c r="C650" s="4"/>
      <c r="D650" s="58"/>
      <c r="E650" s="5"/>
      <c r="F650" s="6"/>
      <c r="G650" s="7"/>
      <c r="H650" s="2"/>
      <c r="I650" s="62"/>
      <c r="J650" s="8"/>
      <c r="K650" s="9"/>
      <c r="L650" s="10"/>
      <c r="M650" s="11"/>
      <c r="N650" s="6"/>
      <c r="O650" s="12"/>
      <c r="P650" s="6"/>
      <c r="Q650" s="6"/>
    </row>
    <row r="651" spans="1:17" x14ac:dyDescent="0.25">
      <c r="A651" s="2"/>
      <c r="B651" s="3"/>
      <c r="C651" s="4"/>
      <c r="D651" s="58"/>
      <c r="E651" s="5"/>
      <c r="F651" s="6"/>
      <c r="G651" s="7"/>
      <c r="H651" s="2"/>
      <c r="I651" s="62"/>
      <c r="J651" s="8"/>
      <c r="K651" s="9"/>
      <c r="L651" s="10"/>
      <c r="M651" s="11"/>
      <c r="N651" s="6"/>
      <c r="O651" s="12"/>
      <c r="P651" s="6"/>
      <c r="Q651" s="6"/>
    </row>
    <row r="652" spans="1:17" x14ac:dyDescent="0.25">
      <c r="A652" s="2"/>
      <c r="B652" s="3"/>
      <c r="C652" s="4"/>
      <c r="D652" s="58"/>
      <c r="E652" s="5"/>
      <c r="F652" s="6"/>
      <c r="G652" s="7"/>
      <c r="H652" s="2"/>
      <c r="I652" s="62"/>
      <c r="J652" s="8"/>
      <c r="K652" s="9"/>
      <c r="L652" s="10"/>
      <c r="M652" s="11"/>
      <c r="N652" s="6"/>
      <c r="O652" s="12"/>
      <c r="P652" s="6"/>
      <c r="Q652" s="6"/>
    </row>
    <row r="653" spans="1:17" x14ac:dyDescent="0.25">
      <c r="A653" s="2"/>
      <c r="B653" s="3"/>
      <c r="C653" s="4"/>
      <c r="D653" s="58"/>
      <c r="E653" s="5"/>
      <c r="F653" s="14"/>
      <c r="G653" s="32"/>
      <c r="H653" s="13"/>
      <c r="I653" s="61"/>
      <c r="J653" s="8"/>
      <c r="K653" s="9"/>
      <c r="L653" s="10"/>
      <c r="M653" s="15"/>
      <c r="N653" s="6"/>
      <c r="O653" s="12"/>
      <c r="P653" s="6"/>
      <c r="Q653" s="6"/>
    </row>
    <row r="654" spans="1:17" x14ac:dyDescent="0.25">
      <c r="A654" s="2"/>
      <c r="B654" s="3"/>
      <c r="C654" s="4"/>
      <c r="D654" s="58"/>
      <c r="E654" s="5"/>
      <c r="F654" s="14"/>
      <c r="G654" s="32"/>
      <c r="H654" s="13"/>
      <c r="I654" s="61"/>
      <c r="J654" s="8"/>
      <c r="K654" s="9"/>
      <c r="L654" s="10"/>
      <c r="M654" s="15"/>
      <c r="N654" s="6"/>
      <c r="O654" s="12"/>
      <c r="P654" s="6"/>
      <c r="Q654" s="6"/>
    </row>
    <row r="655" spans="1:17" x14ac:dyDescent="0.25">
      <c r="A655" s="2"/>
      <c r="B655" s="3"/>
      <c r="C655" s="4"/>
      <c r="D655" s="58"/>
      <c r="E655" s="5"/>
      <c r="F655" s="14"/>
      <c r="G655" s="32"/>
      <c r="H655" s="13"/>
      <c r="I655" s="61"/>
      <c r="J655" s="8"/>
      <c r="K655" s="9"/>
      <c r="L655" s="10"/>
      <c r="M655" s="15"/>
      <c r="N655" s="6"/>
      <c r="O655" s="12"/>
      <c r="P655" s="6"/>
      <c r="Q655" s="6"/>
    </row>
    <row r="656" spans="1:17" x14ac:dyDescent="0.25">
      <c r="A656" s="2"/>
      <c r="B656" s="3"/>
      <c r="C656" s="4"/>
      <c r="D656" s="58"/>
      <c r="E656" s="5"/>
      <c r="F656" s="6"/>
      <c r="G656" s="7"/>
      <c r="H656" s="2"/>
      <c r="I656" s="61"/>
      <c r="J656" s="8"/>
      <c r="K656" s="9"/>
      <c r="L656" s="10"/>
      <c r="M656" s="11"/>
      <c r="N656" s="6"/>
      <c r="O656" s="12"/>
      <c r="P656" s="6"/>
      <c r="Q656" s="6"/>
    </row>
    <row r="657" spans="1:17" x14ac:dyDescent="0.25">
      <c r="A657" s="2"/>
      <c r="B657" s="3"/>
      <c r="C657" s="4"/>
      <c r="D657" s="58"/>
      <c r="E657" s="5"/>
      <c r="F657" s="6"/>
      <c r="G657" s="7"/>
      <c r="H657" s="2"/>
      <c r="I657" s="61"/>
      <c r="J657" s="8"/>
      <c r="K657" s="9"/>
      <c r="L657" s="10"/>
      <c r="M657" s="11"/>
      <c r="N657" s="6"/>
      <c r="O657" s="12"/>
      <c r="P657" s="6"/>
      <c r="Q657" s="6"/>
    </row>
    <row r="658" spans="1:17" x14ac:dyDescent="0.25">
      <c r="A658" s="2"/>
      <c r="B658" s="3"/>
      <c r="C658" s="4"/>
      <c r="D658" s="58"/>
      <c r="E658" s="5"/>
      <c r="F658" s="6"/>
      <c r="G658" s="7"/>
      <c r="H658" s="2"/>
      <c r="I658" s="61"/>
      <c r="J658" s="8"/>
      <c r="K658" s="9"/>
      <c r="L658" s="10"/>
      <c r="M658" s="11"/>
      <c r="N658" s="6"/>
      <c r="O658" s="12"/>
      <c r="P658" s="6"/>
      <c r="Q658" s="6"/>
    </row>
    <row r="659" spans="1:17" x14ac:dyDescent="0.25">
      <c r="A659" s="2"/>
      <c r="B659" s="3"/>
      <c r="C659" s="4"/>
      <c r="D659" s="58"/>
      <c r="E659" s="5"/>
      <c r="F659" s="6"/>
      <c r="G659" s="7"/>
      <c r="H659" s="2"/>
      <c r="I659" s="61"/>
      <c r="J659" s="8"/>
      <c r="K659" s="9"/>
      <c r="L659" s="10"/>
      <c r="M659" s="11"/>
      <c r="N659" s="6"/>
      <c r="O659" s="12"/>
      <c r="P659" s="6"/>
      <c r="Q659" s="6"/>
    </row>
    <row r="660" spans="1:17" x14ac:dyDescent="0.25">
      <c r="A660" s="2"/>
      <c r="B660" s="3"/>
      <c r="C660" s="4"/>
      <c r="D660" s="58"/>
      <c r="E660" s="5"/>
      <c r="F660" s="6"/>
      <c r="G660" s="7"/>
      <c r="H660" s="2"/>
      <c r="I660" s="61"/>
      <c r="J660" s="8"/>
      <c r="K660" s="9"/>
      <c r="L660" s="10"/>
      <c r="M660" s="11"/>
      <c r="N660" s="6"/>
      <c r="O660" s="12"/>
      <c r="P660" s="6"/>
      <c r="Q660" s="6"/>
    </row>
    <row r="661" spans="1:17" x14ac:dyDescent="0.25">
      <c r="A661" s="2"/>
      <c r="B661" s="3"/>
      <c r="C661" s="4"/>
      <c r="D661" s="58"/>
      <c r="E661" s="5"/>
      <c r="F661" s="14"/>
      <c r="G661" s="32"/>
      <c r="H661" s="13"/>
      <c r="I661" s="61"/>
      <c r="J661" s="8"/>
      <c r="K661" s="9"/>
      <c r="L661" s="10"/>
      <c r="M661" s="15"/>
      <c r="N661" s="6"/>
      <c r="O661" s="12"/>
      <c r="P661" s="6"/>
      <c r="Q661" s="6"/>
    </row>
    <row r="662" spans="1:17" x14ac:dyDescent="0.25">
      <c r="A662" s="2"/>
      <c r="B662" s="3"/>
      <c r="C662" s="4"/>
      <c r="D662" s="58"/>
      <c r="E662" s="5"/>
      <c r="F662" s="14"/>
      <c r="G662" s="32"/>
      <c r="H662" s="13"/>
      <c r="I662" s="61"/>
      <c r="J662" s="8"/>
      <c r="K662" s="9"/>
      <c r="L662" s="10"/>
      <c r="M662" s="15"/>
      <c r="N662" s="6"/>
      <c r="O662" s="12"/>
      <c r="P662" s="6"/>
      <c r="Q662" s="6"/>
    </row>
    <row r="663" spans="1:17" x14ac:dyDescent="0.25">
      <c r="A663" s="2"/>
      <c r="B663" s="3"/>
      <c r="C663" s="4"/>
      <c r="D663" s="58"/>
      <c r="E663" s="5"/>
      <c r="F663" s="14"/>
      <c r="G663" s="32"/>
      <c r="H663" s="13"/>
      <c r="I663" s="61"/>
      <c r="J663" s="8"/>
      <c r="K663" s="9"/>
      <c r="L663" s="10"/>
      <c r="M663" s="15"/>
      <c r="N663" s="6"/>
      <c r="O663" s="12"/>
      <c r="P663" s="6"/>
      <c r="Q663" s="6"/>
    </row>
    <row r="664" spans="1:17" x14ac:dyDescent="0.25">
      <c r="A664" s="2"/>
      <c r="B664" s="3"/>
      <c r="C664" s="4"/>
      <c r="D664" s="58"/>
      <c r="E664" s="5"/>
      <c r="F664" s="6"/>
      <c r="G664" s="7"/>
      <c r="H664" s="2"/>
      <c r="I664" s="61"/>
      <c r="J664" s="8"/>
      <c r="K664" s="9"/>
      <c r="L664" s="10"/>
      <c r="M664" s="11"/>
      <c r="N664" s="6"/>
      <c r="O664" s="12"/>
      <c r="P664" s="6"/>
      <c r="Q664" s="6"/>
    </row>
    <row r="665" spans="1:17" x14ac:dyDescent="0.25">
      <c r="A665" s="2"/>
      <c r="B665" s="3"/>
      <c r="C665" s="4"/>
      <c r="D665" s="58"/>
      <c r="E665" s="5"/>
      <c r="F665" s="6"/>
      <c r="G665" s="7"/>
      <c r="H665" s="2"/>
      <c r="I665" s="61"/>
      <c r="J665" s="8"/>
      <c r="K665" s="9"/>
      <c r="L665" s="10"/>
      <c r="M665" s="11"/>
      <c r="N665" s="6"/>
      <c r="O665" s="12"/>
      <c r="P665" s="6"/>
      <c r="Q665" s="6"/>
    </row>
    <row r="666" spans="1:17" x14ac:dyDescent="0.25">
      <c r="A666" s="2"/>
      <c r="B666" s="3"/>
      <c r="C666" s="4"/>
      <c r="D666" s="58"/>
      <c r="E666" s="5"/>
      <c r="F666" s="6"/>
      <c r="G666" s="7"/>
      <c r="H666" s="2"/>
      <c r="I666" s="61"/>
      <c r="J666" s="8"/>
      <c r="K666" s="9"/>
      <c r="L666" s="10"/>
      <c r="M666" s="11"/>
      <c r="N666" s="6"/>
      <c r="O666" s="12"/>
      <c r="P666" s="6"/>
      <c r="Q666" s="6"/>
    </row>
    <row r="667" spans="1:17" x14ac:dyDescent="0.25">
      <c r="A667" s="2"/>
      <c r="B667" s="3"/>
      <c r="C667" s="44"/>
      <c r="D667" s="58"/>
      <c r="E667" s="5"/>
      <c r="F667" s="6"/>
      <c r="G667" s="7"/>
      <c r="H667" s="2"/>
      <c r="I667" s="61"/>
      <c r="J667" s="8"/>
      <c r="K667" s="9"/>
      <c r="L667" s="10"/>
      <c r="M667" s="11"/>
      <c r="N667" s="6"/>
      <c r="O667" s="12"/>
      <c r="P667" s="6"/>
      <c r="Q667" s="6"/>
    </row>
    <row r="668" spans="1:17" x14ac:dyDescent="0.25">
      <c r="A668" s="2"/>
      <c r="B668" s="3"/>
      <c r="C668" s="4"/>
      <c r="D668" s="58"/>
      <c r="E668" s="5"/>
      <c r="F668" s="6"/>
      <c r="G668" s="7"/>
      <c r="H668" s="2"/>
      <c r="I668" s="61"/>
      <c r="J668" s="8"/>
      <c r="K668" s="9"/>
      <c r="L668" s="10"/>
      <c r="M668" s="11"/>
      <c r="N668" s="6"/>
      <c r="O668" s="12"/>
      <c r="P668" s="6"/>
      <c r="Q668" s="6"/>
    </row>
    <row r="669" spans="1:17" x14ac:dyDescent="0.25">
      <c r="A669" s="2"/>
      <c r="B669" s="3"/>
      <c r="C669" s="4"/>
      <c r="D669" s="58"/>
      <c r="E669" s="5"/>
      <c r="F669" s="6"/>
      <c r="G669" s="7"/>
      <c r="H669" s="2"/>
      <c r="I669" s="61"/>
      <c r="J669" s="8"/>
      <c r="K669" s="9"/>
      <c r="L669" s="10"/>
      <c r="M669" s="11"/>
      <c r="N669" s="6"/>
      <c r="O669" s="12"/>
      <c r="P669" s="6"/>
      <c r="Q669" s="6"/>
    </row>
    <row r="670" spans="1:17" x14ac:dyDescent="0.25">
      <c r="A670" s="2"/>
      <c r="B670" s="3"/>
      <c r="C670" s="4"/>
      <c r="D670" s="58"/>
      <c r="E670" s="5"/>
      <c r="F670" s="6"/>
      <c r="G670" s="7"/>
      <c r="H670" s="2"/>
      <c r="I670" s="61"/>
      <c r="J670" s="8"/>
      <c r="K670" s="9"/>
      <c r="L670" s="10"/>
      <c r="M670" s="11"/>
      <c r="N670" s="6"/>
      <c r="O670" s="12"/>
      <c r="P670" s="6"/>
      <c r="Q670" s="6"/>
    </row>
    <row r="671" spans="1:17" x14ac:dyDescent="0.25">
      <c r="A671" s="2"/>
      <c r="B671" s="3"/>
      <c r="C671" s="4"/>
      <c r="D671" s="58"/>
      <c r="E671" s="5"/>
      <c r="F671" s="6"/>
      <c r="G671" s="7"/>
      <c r="H671" s="2"/>
      <c r="I671" s="61"/>
      <c r="J671" s="8"/>
      <c r="K671" s="9"/>
      <c r="L671" s="10"/>
      <c r="M671" s="11"/>
      <c r="N671" s="6"/>
      <c r="O671" s="12"/>
      <c r="P671" s="6"/>
      <c r="Q671" s="6"/>
    </row>
    <row r="672" spans="1:17" x14ac:dyDescent="0.25">
      <c r="A672" s="2"/>
      <c r="B672" s="3"/>
      <c r="C672" s="4"/>
      <c r="D672" s="58"/>
      <c r="E672" s="5"/>
      <c r="F672" s="6"/>
      <c r="G672" s="7"/>
      <c r="H672" s="2"/>
      <c r="I672" s="61"/>
      <c r="J672" s="8"/>
      <c r="K672" s="9"/>
      <c r="L672" s="10"/>
      <c r="M672" s="11"/>
      <c r="N672" s="6"/>
      <c r="O672" s="12"/>
      <c r="P672" s="6"/>
      <c r="Q672" s="6"/>
    </row>
    <row r="673" spans="1:17" x14ac:dyDescent="0.25">
      <c r="A673" s="2"/>
      <c r="B673" s="3"/>
      <c r="C673" s="4"/>
      <c r="D673" s="58"/>
      <c r="E673" s="5"/>
      <c r="F673" s="6"/>
      <c r="G673" s="7"/>
      <c r="H673" s="2"/>
      <c r="I673" s="61"/>
      <c r="J673" s="8"/>
      <c r="K673" s="9"/>
      <c r="L673" s="10"/>
      <c r="M673" s="11"/>
      <c r="N673" s="6"/>
      <c r="O673" s="12"/>
      <c r="P673" s="6"/>
      <c r="Q673" s="6"/>
    </row>
    <row r="674" spans="1:17" x14ac:dyDescent="0.25">
      <c r="A674" s="2"/>
      <c r="B674" s="3"/>
      <c r="C674" s="4"/>
      <c r="D674" s="58"/>
      <c r="E674" s="5"/>
      <c r="F674" s="6"/>
      <c r="G674" s="7"/>
      <c r="H674" s="2"/>
      <c r="I674" s="61"/>
      <c r="J674" s="8"/>
      <c r="K674" s="9"/>
      <c r="L674" s="10"/>
      <c r="M674" s="11"/>
      <c r="N674" s="6"/>
      <c r="O674" s="12"/>
      <c r="P674" s="6"/>
      <c r="Q674" s="6"/>
    </row>
    <row r="675" spans="1:17" x14ac:dyDescent="0.25">
      <c r="A675" s="2"/>
      <c r="B675" s="3"/>
      <c r="C675" s="4"/>
      <c r="D675" s="58"/>
      <c r="E675" s="5"/>
      <c r="F675" s="6"/>
      <c r="G675" s="7"/>
      <c r="H675" s="2"/>
      <c r="I675" s="61"/>
      <c r="J675" s="8"/>
      <c r="K675" s="9"/>
      <c r="L675" s="10"/>
      <c r="M675" s="11"/>
      <c r="N675" s="6"/>
      <c r="O675" s="12"/>
      <c r="P675" s="6"/>
      <c r="Q675" s="6"/>
    </row>
    <row r="676" spans="1:17" x14ac:dyDescent="0.25">
      <c r="A676" s="2"/>
      <c r="B676" s="3"/>
      <c r="C676" s="4"/>
      <c r="D676" s="58"/>
      <c r="E676" s="5"/>
      <c r="F676" s="6"/>
      <c r="G676" s="7"/>
      <c r="H676" s="2"/>
      <c r="I676" s="61"/>
      <c r="J676" s="8"/>
      <c r="K676" s="9"/>
      <c r="L676" s="10"/>
      <c r="M676" s="11"/>
      <c r="N676" s="6"/>
      <c r="O676" s="12"/>
      <c r="P676" s="6"/>
      <c r="Q676" s="6"/>
    </row>
    <row r="677" spans="1:17" x14ac:dyDescent="0.25">
      <c r="A677" s="2"/>
      <c r="B677" s="3"/>
      <c r="C677" s="4"/>
      <c r="D677" s="58"/>
      <c r="E677" s="5"/>
      <c r="F677" s="6"/>
      <c r="G677" s="7"/>
      <c r="H677" s="2"/>
      <c r="I677" s="61"/>
      <c r="J677" s="8"/>
      <c r="K677" s="9"/>
      <c r="L677" s="10"/>
      <c r="M677" s="11"/>
      <c r="N677" s="6"/>
      <c r="O677" s="12"/>
      <c r="P677" s="6"/>
      <c r="Q677" s="6"/>
    </row>
    <row r="678" spans="1:17" x14ac:dyDescent="0.25">
      <c r="A678" s="2"/>
      <c r="B678" s="3"/>
      <c r="C678" s="4"/>
      <c r="D678" s="58"/>
      <c r="E678" s="5"/>
      <c r="F678" s="6"/>
      <c r="G678" s="7"/>
      <c r="H678" s="2"/>
      <c r="I678" s="61"/>
      <c r="J678" s="8"/>
      <c r="K678" s="9"/>
      <c r="L678" s="10"/>
      <c r="M678" s="11"/>
      <c r="N678" s="6"/>
      <c r="O678" s="12"/>
      <c r="P678" s="6"/>
      <c r="Q678" s="6"/>
    </row>
    <row r="679" spans="1:17" x14ac:dyDescent="0.25">
      <c r="A679" s="2"/>
      <c r="B679" s="3"/>
      <c r="C679" s="4"/>
      <c r="D679" s="58"/>
      <c r="E679" s="5"/>
      <c r="F679" s="6"/>
      <c r="G679" s="7"/>
      <c r="H679" s="2"/>
      <c r="I679" s="61"/>
      <c r="J679" s="8"/>
      <c r="K679" s="9"/>
      <c r="L679" s="10"/>
      <c r="M679" s="11"/>
      <c r="N679" s="6"/>
      <c r="O679" s="12"/>
      <c r="P679" s="6"/>
      <c r="Q679" s="6"/>
    </row>
    <row r="680" spans="1:17" x14ac:dyDescent="0.25">
      <c r="A680" s="2"/>
      <c r="B680" s="3"/>
      <c r="C680" s="4"/>
      <c r="D680" s="58"/>
      <c r="E680" s="5"/>
      <c r="F680" s="6"/>
      <c r="G680" s="7"/>
      <c r="H680" s="2"/>
      <c r="I680" s="61"/>
      <c r="J680" s="8"/>
      <c r="K680" s="9"/>
      <c r="L680" s="10"/>
      <c r="M680" s="11"/>
      <c r="N680" s="6"/>
      <c r="O680" s="12"/>
      <c r="P680" s="6"/>
      <c r="Q680" s="6"/>
    </row>
    <row r="681" spans="1:17" x14ac:dyDescent="0.25">
      <c r="A681" s="2"/>
      <c r="B681" s="3"/>
      <c r="C681" s="4"/>
      <c r="D681" s="58"/>
      <c r="E681" s="5"/>
      <c r="F681" s="6"/>
      <c r="G681" s="7"/>
      <c r="H681" s="2"/>
      <c r="I681" s="61"/>
      <c r="J681" s="8"/>
      <c r="K681" s="9"/>
      <c r="L681" s="10"/>
      <c r="M681" s="11"/>
      <c r="N681" s="6"/>
      <c r="O681" s="12"/>
      <c r="P681" s="6"/>
      <c r="Q681" s="6"/>
    </row>
    <row r="682" spans="1:17" x14ac:dyDescent="0.25">
      <c r="A682" s="2"/>
      <c r="B682" s="3"/>
      <c r="C682" s="4"/>
      <c r="D682" s="58"/>
      <c r="E682" s="5"/>
      <c r="F682" s="14"/>
      <c r="G682" s="32"/>
      <c r="H682" s="13"/>
      <c r="I682" s="61"/>
      <c r="J682" s="8"/>
      <c r="K682" s="9"/>
      <c r="L682" s="10"/>
      <c r="M682" s="15"/>
      <c r="N682" s="6"/>
      <c r="O682" s="12"/>
      <c r="P682" s="14"/>
      <c r="Q682" s="14"/>
    </row>
    <row r="683" spans="1:17" x14ac:dyDescent="0.25">
      <c r="A683" s="2"/>
      <c r="B683" s="3"/>
      <c r="C683" s="4"/>
      <c r="D683" s="58"/>
      <c r="E683" s="5"/>
      <c r="F683" s="14"/>
      <c r="G683" s="32"/>
      <c r="H683" s="13"/>
      <c r="I683" s="61"/>
      <c r="J683" s="8"/>
      <c r="K683" s="9"/>
      <c r="L683" s="10"/>
      <c r="M683" s="15"/>
      <c r="N683" s="6"/>
      <c r="O683" s="12"/>
      <c r="P683" s="6"/>
      <c r="Q683" s="6"/>
    </row>
    <row r="684" spans="1:17" x14ac:dyDescent="0.25">
      <c r="A684" s="2"/>
      <c r="B684" s="3"/>
      <c r="C684" s="4"/>
      <c r="D684" s="58"/>
      <c r="E684" s="5"/>
      <c r="F684" s="6"/>
      <c r="G684" s="7"/>
      <c r="H684" s="2"/>
      <c r="I684" s="61"/>
      <c r="J684" s="8"/>
      <c r="K684" s="9"/>
      <c r="L684" s="10"/>
      <c r="M684" s="11"/>
      <c r="N684" s="6"/>
      <c r="O684" s="12"/>
      <c r="P684" s="6"/>
      <c r="Q684" s="6"/>
    </row>
    <row r="685" spans="1:17" x14ac:dyDescent="0.25">
      <c r="A685" s="2"/>
      <c r="B685" s="3"/>
      <c r="C685" s="4"/>
      <c r="D685" s="58"/>
      <c r="E685" s="5"/>
      <c r="F685" s="6"/>
      <c r="G685" s="7"/>
      <c r="H685" s="2"/>
      <c r="I685" s="61"/>
      <c r="J685" s="8"/>
      <c r="K685" s="9"/>
      <c r="L685" s="10"/>
      <c r="M685" s="11"/>
      <c r="N685" s="6"/>
      <c r="O685" s="12"/>
      <c r="P685" s="6"/>
      <c r="Q685" s="6"/>
    </row>
    <row r="686" spans="1:17" x14ac:dyDescent="0.25">
      <c r="A686" s="2"/>
      <c r="B686" s="3"/>
      <c r="C686" s="4"/>
      <c r="D686" s="58"/>
      <c r="E686" s="5"/>
      <c r="F686" s="6"/>
      <c r="G686" s="7"/>
      <c r="H686" s="2"/>
      <c r="I686" s="61"/>
      <c r="J686" s="8"/>
      <c r="K686" s="9"/>
      <c r="L686" s="10"/>
      <c r="M686" s="11"/>
      <c r="N686" s="6"/>
      <c r="O686" s="12"/>
      <c r="P686" s="6"/>
      <c r="Q686" s="6"/>
    </row>
    <row r="687" spans="1:17" x14ac:dyDescent="0.25">
      <c r="A687" s="2"/>
      <c r="B687" s="3"/>
      <c r="C687" s="4"/>
      <c r="D687" s="58"/>
      <c r="E687" s="5"/>
      <c r="F687" s="14"/>
      <c r="G687" s="32"/>
      <c r="H687" s="13"/>
      <c r="I687" s="61"/>
      <c r="J687" s="8"/>
      <c r="K687" s="9"/>
      <c r="L687" s="10"/>
      <c r="M687" s="15"/>
      <c r="N687" s="6"/>
      <c r="O687" s="12"/>
      <c r="P687" s="6"/>
      <c r="Q687" s="6"/>
    </row>
    <row r="688" spans="1:17" x14ac:dyDescent="0.25">
      <c r="A688" s="2"/>
      <c r="B688" s="3"/>
      <c r="C688" s="4"/>
      <c r="D688" s="58"/>
      <c r="E688" s="5"/>
      <c r="F688" s="6"/>
      <c r="G688" s="33"/>
      <c r="H688" s="2"/>
      <c r="I688" s="61"/>
      <c r="J688" s="8"/>
      <c r="K688" s="9"/>
      <c r="L688" s="10"/>
      <c r="M688" s="11"/>
      <c r="N688" s="6"/>
      <c r="O688" s="12"/>
      <c r="P688" s="6"/>
      <c r="Q688" s="6"/>
    </row>
    <row r="689" spans="1:17" x14ac:dyDescent="0.25">
      <c r="A689" s="2"/>
      <c r="B689" s="3"/>
      <c r="C689" s="4"/>
      <c r="D689" s="58"/>
      <c r="E689" s="5"/>
      <c r="F689" s="6"/>
      <c r="G689" s="7"/>
      <c r="H689" s="2"/>
      <c r="I689" s="61"/>
      <c r="J689" s="8"/>
      <c r="K689" s="9"/>
      <c r="L689" s="10"/>
      <c r="M689" s="11"/>
      <c r="N689" s="6"/>
      <c r="O689" s="12"/>
      <c r="P689" s="6"/>
      <c r="Q689" s="6"/>
    </row>
    <row r="690" spans="1:17" x14ac:dyDescent="0.25">
      <c r="A690" s="2"/>
      <c r="B690" s="3"/>
      <c r="C690" s="4"/>
      <c r="D690" s="58"/>
      <c r="E690" s="5"/>
      <c r="F690" s="6"/>
      <c r="G690" s="7"/>
      <c r="H690" s="2"/>
      <c r="I690" s="61"/>
      <c r="J690" s="8"/>
      <c r="K690" s="9"/>
      <c r="L690" s="10"/>
      <c r="M690" s="11"/>
      <c r="N690" s="6"/>
      <c r="O690" s="12"/>
      <c r="P690" s="6"/>
      <c r="Q690" s="6"/>
    </row>
    <row r="691" spans="1:17" x14ac:dyDescent="0.25">
      <c r="A691" s="2"/>
      <c r="B691" s="3"/>
      <c r="C691" s="4"/>
      <c r="D691" s="58"/>
      <c r="E691" s="5"/>
      <c r="F691" s="6"/>
      <c r="G691" s="7"/>
      <c r="H691" s="2"/>
      <c r="I691" s="61"/>
      <c r="J691" s="8"/>
      <c r="K691" s="9"/>
      <c r="L691" s="10"/>
      <c r="M691" s="11"/>
      <c r="N691" s="6"/>
      <c r="O691" s="12"/>
      <c r="P691" s="6"/>
      <c r="Q691" s="6"/>
    </row>
    <row r="692" spans="1:17" x14ac:dyDescent="0.25">
      <c r="A692" s="2"/>
      <c r="B692" s="3"/>
      <c r="C692" s="4"/>
      <c r="D692" s="58"/>
      <c r="E692" s="5"/>
      <c r="F692" s="6"/>
      <c r="G692" s="7"/>
      <c r="H692" s="2"/>
      <c r="I692" s="61"/>
      <c r="J692" s="8"/>
      <c r="K692" s="9"/>
      <c r="L692" s="10"/>
      <c r="M692" s="11"/>
      <c r="N692" s="6"/>
      <c r="O692" s="12"/>
      <c r="P692" s="6"/>
      <c r="Q692" s="6"/>
    </row>
    <row r="693" spans="1:17" x14ac:dyDescent="0.25">
      <c r="A693" s="2"/>
      <c r="B693" s="3"/>
      <c r="C693" s="4"/>
      <c r="D693" s="58"/>
      <c r="E693" s="5"/>
      <c r="F693" s="6"/>
      <c r="G693" s="7"/>
      <c r="H693" s="2"/>
      <c r="I693" s="61"/>
      <c r="J693" s="8"/>
      <c r="K693" s="9"/>
      <c r="L693" s="10"/>
      <c r="M693" s="11"/>
      <c r="N693" s="6"/>
      <c r="O693" s="12"/>
      <c r="P693" s="6"/>
      <c r="Q693" s="6"/>
    </row>
    <row r="694" spans="1:17" x14ac:dyDescent="0.25">
      <c r="A694" s="2"/>
      <c r="B694" s="3"/>
      <c r="C694" s="4"/>
      <c r="D694" s="58"/>
      <c r="E694" s="5"/>
      <c r="F694" s="14"/>
      <c r="G694" s="32"/>
      <c r="H694" s="13"/>
      <c r="I694" s="61"/>
      <c r="J694" s="8"/>
      <c r="K694" s="9"/>
      <c r="L694" s="10"/>
      <c r="M694" s="15"/>
      <c r="N694" s="6"/>
      <c r="O694" s="12"/>
      <c r="P694" s="6"/>
      <c r="Q694" s="6"/>
    </row>
    <row r="695" spans="1:17" x14ac:dyDescent="0.25">
      <c r="A695" s="2"/>
      <c r="B695" s="3"/>
      <c r="C695" s="4"/>
      <c r="D695" s="58"/>
      <c r="E695" s="5"/>
      <c r="F695" s="6"/>
      <c r="G695" s="7"/>
      <c r="H695" s="2"/>
      <c r="I695" s="61"/>
      <c r="J695" s="8"/>
      <c r="K695" s="9"/>
      <c r="L695" s="10"/>
      <c r="M695" s="11"/>
      <c r="N695" s="6"/>
      <c r="O695" s="12"/>
      <c r="P695" s="6"/>
      <c r="Q695" s="6"/>
    </row>
    <row r="696" spans="1:17" x14ac:dyDescent="0.25">
      <c r="A696" s="2"/>
      <c r="B696" s="3"/>
      <c r="C696" s="4"/>
      <c r="D696" s="58"/>
      <c r="E696" s="5"/>
      <c r="F696" s="6"/>
      <c r="G696" s="7"/>
      <c r="H696" s="2"/>
      <c r="I696" s="61"/>
      <c r="J696" s="8"/>
      <c r="K696" s="9"/>
      <c r="L696" s="10"/>
      <c r="M696" s="11"/>
      <c r="N696" s="6"/>
      <c r="O696" s="12"/>
      <c r="P696" s="6"/>
      <c r="Q696" s="6"/>
    </row>
    <row r="697" spans="1:17" x14ac:dyDescent="0.25">
      <c r="A697" s="2"/>
      <c r="B697" s="3"/>
      <c r="C697" s="4"/>
      <c r="D697" s="58"/>
      <c r="E697" s="5"/>
      <c r="F697" s="6"/>
      <c r="G697" s="7"/>
      <c r="H697" s="2"/>
      <c r="I697" s="61"/>
      <c r="J697" s="8"/>
      <c r="K697" s="9"/>
      <c r="L697" s="10"/>
      <c r="M697" s="11"/>
      <c r="N697" s="6"/>
      <c r="O697" s="12"/>
      <c r="P697" s="6"/>
      <c r="Q697" s="6"/>
    </row>
    <row r="698" spans="1:17" x14ac:dyDescent="0.25">
      <c r="A698" s="2"/>
      <c r="B698" s="3"/>
      <c r="C698" s="4"/>
      <c r="D698" s="58"/>
      <c r="E698" s="5"/>
      <c r="F698" s="6"/>
      <c r="G698" s="7"/>
      <c r="H698" s="2"/>
      <c r="I698" s="61"/>
      <c r="J698" s="8"/>
      <c r="K698" s="9"/>
      <c r="L698" s="10"/>
      <c r="M698" s="11"/>
      <c r="N698" s="6"/>
      <c r="O698" s="12"/>
      <c r="P698" s="6"/>
      <c r="Q698" s="6"/>
    </row>
    <row r="699" spans="1:17" x14ac:dyDescent="0.25">
      <c r="A699" s="2"/>
      <c r="B699" s="3"/>
      <c r="C699" s="4"/>
      <c r="D699" s="58"/>
      <c r="E699" s="5"/>
      <c r="F699" s="6"/>
      <c r="G699" s="7"/>
      <c r="H699" s="2"/>
      <c r="I699" s="61"/>
      <c r="J699" s="8"/>
      <c r="K699" s="9"/>
      <c r="L699" s="10"/>
      <c r="M699" s="11"/>
      <c r="N699" s="6"/>
      <c r="O699" s="12"/>
      <c r="P699" s="6"/>
      <c r="Q699" s="6"/>
    </row>
    <row r="700" spans="1:17" x14ac:dyDescent="0.25">
      <c r="A700" s="2"/>
      <c r="B700" s="3"/>
      <c r="C700" s="4"/>
      <c r="D700" s="58"/>
      <c r="E700" s="5"/>
      <c r="F700" s="6"/>
      <c r="G700" s="7"/>
      <c r="H700" s="2"/>
      <c r="I700" s="61"/>
      <c r="J700" s="8"/>
      <c r="K700" s="9"/>
      <c r="L700" s="10"/>
      <c r="M700" s="11"/>
      <c r="N700" s="6"/>
      <c r="O700" s="12"/>
      <c r="P700" s="6"/>
      <c r="Q700" s="6"/>
    </row>
    <row r="701" spans="1:17" x14ac:dyDescent="0.25">
      <c r="A701" s="2"/>
      <c r="B701" s="3"/>
      <c r="C701" s="4"/>
      <c r="D701" s="58"/>
      <c r="E701" s="5"/>
      <c r="F701" s="6"/>
      <c r="G701" s="7"/>
      <c r="H701" s="2"/>
      <c r="I701" s="61"/>
      <c r="J701" s="8"/>
      <c r="K701" s="9"/>
      <c r="L701" s="10"/>
      <c r="M701" s="11"/>
      <c r="N701" s="6"/>
      <c r="O701" s="12"/>
      <c r="P701" s="6"/>
      <c r="Q701" s="6"/>
    </row>
    <row r="702" spans="1:17" x14ac:dyDescent="0.25">
      <c r="A702" s="2"/>
      <c r="B702" s="3"/>
      <c r="C702" s="4"/>
      <c r="D702" s="58"/>
      <c r="E702" s="5"/>
      <c r="F702" s="6"/>
      <c r="G702" s="7"/>
      <c r="H702" s="2"/>
      <c r="I702" s="61"/>
      <c r="J702" s="8"/>
      <c r="K702" s="9"/>
      <c r="L702" s="10"/>
      <c r="M702" s="11"/>
      <c r="N702" s="6"/>
      <c r="O702" s="12"/>
      <c r="P702" s="6"/>
      <c r="Q702" s="6"/>
    </row>
    <row r="703" spans="1:17" x14ac:dyDescent="0.25">
      <c r="A703" s="2"/>
      <c r="B703" s="3"/>
      <c r="C703" s="4"/>
      <c r="D703" s="58"/>
      <c r="E703" s="5"/>
      <c r="F703" s="6"/>
      <c r="G703" s="7"/>
      <c r="H703" s="2"/>
      <c r="I703" s="61"/>
      <c r="J703" s="8"/>
      <c r="K703" s="9"/>
      <c r="L703" s="10"/>
      <c r="M703" s="11"/>
      <c r="N703" s="6"/>
      <c r="O703" s="12"/>
      <c r="P703" s="6"/>
      <c r="Q703" s="6"/>
    </row>
    <row r="704" spans="1:17" x14ac:dyDescent="0.25">
      <c r="A704" s="2"/>
      <c r="B704" s="3"/>
      <c r="C704" s="4"/>
      <c r="D704" s="58"/>
      <c r="E704" s="5"/>
      <c r="F704" s="6"/>
      <c r="G704" s="7"/>
      <c r="H704" s="2"/>
      <c r="I704" s="61"/>
      <c r="J704" s="8"/>
      <c r="K704" s="9"/>
      <c r="L704" s="10"/>
      <c r="M704" s="11"/>
      <c r="N704" s="6"/>
      <c r="O704" s="12"/>
      <c r="P704" s="6"/>
      <c r="Q704" s="6"/>
    </row>
    <row r="705" spans="1:17" x14ac:dyDescent="0.25">
      <c r="A705" s="2"/>
      <c r="B705" s="3"/>
      <c r="C705" s="4"/>
      <c r="D705" s="58"/>
      <c r="E705" s="5"/>
      <c r="F705" s="6"/>
      <c r="G705" s="7"/>
      <c r="H705" s="2"/>
      <c r="I705" s="61"/>
      <c r="J705" s="8"/>
      <c r="K705" s="9"/>
      <c r="L705" s="10"/>
      <c r="M705" s="11"/>
      <c r="N705" s="6"/>
      <c r="O705" s="12"/>
      <c r="P705" s="6"/>
      <c r="Q705" s="6"/>
    </row>
    <row r="706" spans="1:17" x14ac:dyDescent="0.25">
      <c r="A706" s="2"/>
      <c r="B706" s="3"/>
      <c r="C706" s="4"/>
      <c r="D706" s="58"/>
      <c r="E706" s="5"/>
      <c r="F706" s="6"/>
      <c r="G706" s="7"/>
      <c r="H706" s="2"/>
      <c r="I706" s="61"/>
      <c r="J706" s="8"/>
      <c r="K706" s="9"/>
      <c r="L706" s="10"/>
      <c r="M706" s="11"/>
      <c r="N706" s="6"/>
      <c r="O706" s="12"/>
      <c r="P706" s="6"/>
      <c r="Q706" s="6"/>
    </row>
    <row r="707" spans="1:17" x14ac:dyDescent="0.25">
      <c r="A707" s="2"/>
      <c r="B707" s="3"/>
      <c r="C707" s="4"/>
      <c r="D707" s="58"/>
      <c r="E707" s="5"/>
      <c r="F707" s="6"/>
      <c r="G707" s="7"/>
      <c r="H707" s="2"/>
      <c r="I707" s="61"/>
      <c r="J707" s="8"/>
      <c r="K707" s="9"/>
      <c r="L707" s="10"/>
      <c r="M707" s="11"/>
      <c r="N707" s="6"/>
      <c r="O707" s="12"/>
      <c r="P707" s="6"/>
      <c r="Q707" s="6"/>
    </row>
    <row r="708" spans="1:17" x14ac:dyDescent="0.25">
      <c r="A708" s="2"/>
      <c r="B708" s="3"/>
      <c r="C708" s="4"/>
      <c r="D708" s="58"/>
      <c r="E708" s="5"/>
      <c r="F708" s="6"/>
      <c r="G708" s="7"/>
      <c r="H708" s="2"/>
      <c r="I708" s="61"/>
      <c r="J708" s="8"/>
      <c r="K708" s="9"/>
      <c r="L708" s="10"/>
      <c r="M708" s="11"/>
      <c r="N708" s="6"/>
      <c r="O708" s="12"/>
      <c r="P708" s="6"/>
      <c r="Q708" s="6"/>
    </row>
    <row r="709" spans="1:17" x14ac:dyDescent="0.25">
      <c r="A709" s="2"/>
      <c r="B709" s="3"/>
      <c r="C709" s="45"/>
      <c r="D709" s="58"/>
      <c r="E709" s="5"/>
      <c r="F709" s="6"/>
      <c r="G709" s="7"/>
      <c r="H709" s="2"/>
      <c r="I709" s="61"/>
      <c r="J709" s="8"/>
      <c r="K709" s="9"/>
      <c r="L709" s="10"/>
      <c r="M709" s="11"/>
      <c r="N709" s="6"/>
      <c r="O709" s="12"/>
      <c r="P709" s="6"/>
      <c r="Q709" s="6"/>
    </row>
    <row r="710" spans="1:17" x14ac:dyDescent="0.25">
      <c r="A710" s="2"/>
      <c r="B710" s="3"/>
      <c r="C710" s="4"/>
      <c r="D710" s="58"/>
      <c r="E710" s="5"/>
      <c r="F710" s="14"/>
      <c r="G710" s="32"/>
      <c r="H710" s="13"/>
      <c r="I710" s="61"/>
      <c r="J710" s="8"/>
      <c r="K710" s="9"/>
      <c r="L710" s="10"/>
      <c r="M710" s="15"/>
      <c r="N710" s="6"/>
      <c r="O710" s="12"/>
      <c r="P710" s="6"/>
      <c r="Q710" s="6"/>
    </row>
    <row r="711" spans="1:17" x14ac:dyDescent="0.25">
      <c r="A711" s="2"/>
      <c r="B711" s="3"/>
      <c r="C711" s="4"/>
      <c r="D711" s="58"/>
      <c r="E711" s="5"/>
      <c r="F711" s="14"/>
      <c r="G711" s="32"/>
      <c r="H711" s="13"/>
      <c r="I711" s="61"/>
      <c r="J711" s="8"/>
      <c r="K711" s="9"/>
      <c r="L711" s="10"/>
      <c r="M711" s="15"/>
      <c r="N711" s="6"/>
      <c r="O711" s="12"/>
      <c r="P711" s="6"/>
      <c r="Q711" s="6"/>
    </row>
    <row r="712" spans="1:17" x14ac:dyDescent="0.25">
      <c r="A712" s="2"/>
      <c r="B712" s="3"/>
      <c r="C712" s="4"/>
      <c r="D712" s="58"/>
      <c r="E712" s="5"/>
      <c r="F712" s="14"/>
      <c r="G712" s="32"/>
      <c r="H712" s="13"/>
      <c r="I712" s="61"/>
      <c r="J712" s="8"/>
      <c r="K712" s="9"/>
      <c r="L712" s="10"/>
      <c r="M712" s="15"/>
      <c r="N712" s="6"/>
      <c r="O712" s="12"/>
      <c r="P712" s="6"/>
      <c r="Q712" s="6"/>
    </row>
    <row r="713" spans="1:17" x14ac:dyDescent="0.25">
      <c r="A713" s="2"/>
      <c r="B713" s="3"/>
      <c r="C713" s="4"/>
      <c r="D713" s="58"/>
      <c r="E713" s="5"/>
      <c r="F713" s="14"/>
      <c r="G713" s="32"/>
      <c r="H713" s="13"/>
      <c r="I713" s="61"/>
      <c r="J713" s="8"/>
      <c r="K713" s="9"/>
      <c r="L713" s="10"/>
      <c r="M713" s="15"/>
      <c r="N713" s="6"/>
      <c r="O713" s="12"/>
      <c r="P713" s="6"/>
      <c r="Q713" s="6"/>
    </row>
    <row r="714" spans="1:17" x14ac:dyDescent="0.25">
      <c r="A714" s="2"/>
      <c r="B714" s="3"/>
      <c r="C714" s="4"/>
      <c r="D714" s="58"/>
      <c r="E714" s="5"/>
      <c r="F714" s="6"/>
      <c r="G714" s="7"/>
      <c r="H714" s="2"/>
      <c r="I714" s="61"/>
      <c r="J714" s="8"/>
      <c r="K714" s="9"/>
      <c r="L714" s="10"/>
      <c r="M714" s="11"/>
      <c r="N714" s="6"/>
      <c r="O714" s="12"/>
      <c r="P714" s="6"/>
      <c r="Q714" s="6"/>
    </row>
    <row r="715" spans="1:17" x14ac:dyDescent="0.25">
      <c r="A715" s="2"/>
      <c r="B715" s="3"/>
      <c r="C715" s="4"/>
      <c r="D715" s="58"/>
      <c r="E715" s="5"/>
      <c r="F715" s="6"/>
      <c r="G715" s="7"/>
      <c r="H715" s="2"/>
      <c r="I715" s="61"/>
      <c r="J715" s="8"/>
      <c r="K715" s="9"/>
      <c r="L715" s="10"/>
      <c r="M715" s="11"/>
      <c r="N715" s="6"/>
      <c r="O715" s="12"/>
      <c r="P715" s="6"/>
      <c r="Q715" s="6"/>
    </row>
    <row r="716" spans="1:17" x14ac:dyDescent="0.25">
      <c r="A716" s="2"/>
      <c r="B716" s="3"/>
      <c r="C716" s="4"/>
      <c r="D716" s="58"/>
      <c r="E716" s="5"/>
      <c r="F716" s="6"/>
      <c r="G716" s="7"/>
      <c r="H716" s="2"/>
      <c r="I716" s="61"/>
      <c r="J716" s="8"/>
      <c r="K716" s="9"/>
      <c r="L716" s="10"/>
      <c r="M716" s="11"/>
      <c r="N716" s="6"/>
      <c r="O716" s="12"/>
      <c r="P716" s="6"/>
      <c r="Q716" s="6"/>
    </row>
    <row r="717" spans="1:17" x14ac:dyDescent="0.25">
      <c r="A717" s="2"/>
      <c r="B717" s="3"/>
      <c r="C717" s="4"/>
      <c r="D717" s="58"/>
      <c r="E717" s="5"/>
      <c r="F717" s="6"/>
      <c r="G717" s="7"/>
      <c r="H717" s="2"/>
      <c r="I717" s="61"/>
      <c r="J717" s="8"/>
      <c r="K717" s="9"/>
      <c r="L717" s="10"/>
      <c r="M717" s="11"/>
      <c r="N717" s="6"/>
      <c r="O717" s="12"/>
      <c r="P717" s="6"/>
      <c r="Q717" s="6"/>
    </row>
    <row r="718" spans="1:17" x14ac:dyDescent="0.25">
      <c r="A718" s="2"/>
      <c r="B718" s="3"/>
      <c r="C718" s="4"/>
      <c r="D718" s="58"/>
      <c r="E718" s="5"/>
      <c r="F718" s="6"/>
      <c r="G718" s="7"/>
      <c r="H718" s="2"/>
      <c r="I718" s="61"/>
      <c r="J718" s="8"/>
      <c r="K718" s="9"/>
      <c r="L718" s="10"/>
      <c r="M718" s="11"/>
      <c r="N718" s="6"/>
      <c r="O718" s="12"/>
      <c r="P718" s="6"/>
      <c r="Q718" s="6"/>
    </row>
    <row r="719" spans="1:17" x14ac:dyDescent="0.25">
      <c r="A719" s="2"/>
      <c r="B719" s="3"/>
      <c r="C719" s="4"/>
      <c r="D719" s="58"/>
      <c r="E719" s="5"/>
      <c r="F719" s="6"/>
      <c r="G719" s="33"/>
      <c r="H719" s="2"/>
      <c r="I719" s="61"/>
      <c r="J719" s="8"/>
      <c r="K719" s="9"/>
      <c r="L719" s="10"/>
      <c r="M719" s="11"/>
      <c r="N719" s="6"/>
      <c r="O719" s="12"/>
      <c r="P719" s="6"/>
      <c r="Q719" s="6"/>
    </row>
    <row r="720" spans="1:17" x14ac:dyDescent="0.25">
      <c r="A720" s="2"/>
      <c r="B720" s="3"/>
      <c r="C720" s="4"/>
      <c r="D720" s="58"/>
      <c r="E720" s="5"/>
      <c r="F720" s="6"/>
      <c r="G720" s="7"/>
      <c r="H720" s="2"/>
      <c r="I720" s="61"/>
      <c r="J720" s="8"/>
      <c r="K720" s="9"/>
      <c r="L720" s="10"/>
      <c r="M720" s="11"/>
      <c r="N720" s="6"/>
      <c r="O720" s="12"/>
      <c r="P720" s="6"/>
      <c r="Q720" s="6"/>
    </row>
    <row r="721" spans="1:17" x14ac:dyDescent="0.25">
      <c r="A721" s="2"/>
      <c r="B721" s="3"/>
      <c r="C721" s="4"/>
      <c r="D721" s="58"/>
      <c r="E721" s="5"/>
      <c r="F721" s="6"/>
      <c r="G721" s="7"/>
      <c r="H721" s="2"/>
      <c r="I721" s="61"/>
      <c r="J721" s="8"/>
      <c r="K721" s="9"/>
      <c r="L721" s="10"/>
      <c r="M721" s="11"/>
      <c r="N721" s="6"/>
      <c r="O721" s="12"/>
      <c r="P721" s="6"/>
      <c r="Q721" s="6"/>
    </row>
    <row r="722" spans="1:17" x14ac:dyDescent="0.25">
      <c r="A722" s="2"/>
      <c r="B722" s="3"/>
      <c r="C722" s="4"/>
      <c r="D722" s="58"/>
      <c r="E722" s="5"/>
      <c r="F722" s="6"/>
      <c r="G722" s="7"/>
      <c r="H722" s="2"/>
      <c r="I722" s="61"/>
      <c r="J722" s="8"/>
      <c r="K722" s="9"/>
      <c r="L722" s="10"/>
      <c r="M722" s="11"/>
      <c r="N722" s="6"/>
      <c r="O722" s="12"/>
      <c r="P722" s="6"/>
      <c r="Q722" s="6"/>
    </row>
    <row r="723" spans="1:17" x14ac:dyDescent="0.25">
      <c r="A723" s="2"/>
      <c r="B723" s="3"/>
      <c r="C723" s="4"/>
      <c r="D723" s="58"/>
      <c r="E723" s="5"/>
      <c r="F723" s="6"/>
      <c r="G723" s="7"/>
      <c r="H723" s="2"/>
      <c r="I723" s="61"/>
      <c r="J723" s="8"/>
      <c r="K723" s="9"/>
      <c r="L723" s="10"/>
      <c r="M723" s="11"/>
      <c r="N723" s="6"/>
      <c r="O723" s="12"/>
      <c r="P723" s="6"/>
      <c r="Q723" s="6"/>
    </row>
    <row r="724" spans="1:17" x14ac:dyDescent="0.25">
      <c r="A724" s="2"/>
      <c r="B724" s="3"/>
      <c r="C724" s="4"/>
      <c r="D724" s="58"/>
      <c r="E724" s="5"/>
      <c r="F724" s="6"/>
      <c r="G724" s="7"/>
      <c r="H724" s="2"/>
      <c r="I724" s="61"/>
      <c r="J724" s="8"/>
      <c r="K724" s="9"/>
      <c r="L724" s="10"/>
      <c r="M724" s="11"/>
      <c r="N724" s="6"/>
      <c r="O724" s="12"/>
      <c r="P724" s="6"/>
      <c r="Q724" s="6"/>
    </row>
    <row r="725" spans="1:17" x14ac:dyDescent="0.25">
      <c r="A725" s="2"/>
      <c r="B725" s="3"/>
      <c r="C725" s="4"/>
      <c r="D725" s="58"/>
      <c r="E725" s="5"/>
      <c r="F725" s="6"/>
      <c r="G725" s="7"/>
      <c r="H725" s="2"/>
      <c r="I725" s="61"/>
      <c r="J725" s="8"/>
      <c r="K725" s="9"/>
      <c r="L725" s="10"/>
      <c r="M725" s="11"/>
      <c r="N725" s="6"/>
      <c r="O725" s="12"/>
      <c r="P725" s="6"/>
      <c r="Q725" s="6"/>
    </row>
    <row r="726" spans="1:17" x14ac:dyDescent="0.25">
      <c r="A726" s="2"/>
      <c r="B726" s="3"/>
      <c r="C726" s="4"/>
      <c r="D726" s="58"/>
      <c r="E726" s="5"/>
      <c r="F726" s="6"/>
      <c r="G726" s="7"/>
      <c r="H726" s="2"/>
      <c r="I726" s="61"/>
      <c r="J726" s="8"/>
      <c r="K726" s="9"/>
      <c r="L726" s="10"/>
      <c r="M726" s="11"/>
      <c r="N726" s="6"/>
      <c r="O726" s="12"/>
      <c r="P726" s="6"/>
      <c r="Q726" s="6"/>
    </row>
    <row r="727" spans="1:17" x14ac:dyDescent="0.25">
      <c r="A727" s="2"/>
      <c r="B727" s="3"/>
      <c r="C727" s="4"/>
      <c r="D727" s="58"/>
      <c r="E727" s="5"/>
      <c r="F727" s="6"/>
      <c r="G727" s="7"/>
      <c r="H727" s="2"/>
      <c r="I727" s="61"/>
      <c r="J727" s="8"/>
      <c r="K727" s="9"/>
      <c r="L727" s="10"/>
      <c r="M727" s="11"/>
      <c r="N727" s="6"/>
      <c r="O727" s="12"/>
      <c r="P727" s="6"/>
      <c r="Q727" s="6"/>
    </row>
    <row r="728" spans="1:17" x14ac:dyDescent="0.25">
      <c r="A728" s="2"/>
      <c r="B728" s="3"/>
      <c r="C728" s="4"/>
      <c r="D728" s="58"/>
      <c r="E728" s="5"/>
      <c r="F728" s="6"/>
      <c r="G728" s="7"/>
      <c r="H728" s="2"/>
      <c r="I728" s="61"/>
      <c r="J728" s="8"/>
      <c r="K728" s="9"/>
      <c r="L728" s="10"/>
      <c r="M728" s="11"/>
      <c r="N728" s="6"/>
      <c r="O728" s="12"/>
      <c r="P728" s="6"/>
      <c r="Q728" s="6"/>
    </row>
    <row r="729" spans="1:17" x14ac:dyDescent="0.25">
      <c r="A729" s="2"/>
      <c r="B729" s="3"/>
      <c r="C729" s="4"/>
      <c r="D729" s="58"/>
      <c r="E729" s="5"/>
      <c r="F729" s="6"/>
      <c r="G729" s="7"/>
      <c r="H729" s="2"/>
      <c r="I729" s="61"/>
      <c r="J729" s="8"/>
      <c r="K729" s="9"/>
      <c r="L729" s="10"/>
      <c r="M729" s="11"/>
      <c r="N729" s="6"/>
      <c r="O729" s="12"/>
      <c r="P729" s="6"/>
      <c r="Q729" s="6"/>
    </row>
    <row r="730" spans="1:17" x14ac:dyDescent="0.25">
      <c r="A730" s="2"/>
      <c r="B730" s="3"/>
      <c r="C730" s="4"/>
      <c r="D730" s="58"/>
      <c r="E730" s="5"/>
      <c r="F730" s="6"/>
      <c r="G730" s="7"/>
      <c r="H730" s="2"/>
      <c r="I730" s="61"/>
      <c r="J730" s="8"/>
      <c r="K730" s="9"/>
      <c r="L730" s="10"/>
      <c r="M730" s="11"/>
      <c r="N730" s="6"/>
      <c r="O730" s="12"/>
      <c r="P730" s="6"/>
      <c r="Q730" s="6"/>
    </row>
    <row r="731" spans="1:17" x14ac:dyDescent="0.25">
      <c r="A731" s="2"/>
      <c r="B731" s="3"/>
      <c r="C731" s="4"/>
      <c r="D731" s="58"/>
      <c r="E731" s="5"/>
      <c r="F731" s="6"/>
      <c r="G731" s="7"/>
      <c r="H731" s="2"/>
      <c r="I731" s="61"/>
      <c r="J731" s="8"/>
      <c r="K731" s="9"/>
      <c r="L731" s="10"/>
      <c r="M731" s="11"/>
      <c r="N731" s="6"/>
      <c r="O731" s="12"/>
      <c r="P731" s="6"/>
      <c r="Q731" s="6"/>
    </row>
    <row r="732" spans="1:17" x14ac:dyDescent="0.25">
      <c r="A732" s="2"/>
      <c r="B732" s="3"/>
      <c r="C732" s="4"/>
      <c r="D732" s="58"/>
      <c r="E732" s="5"/>
      <c r="F732" s="6"/>
      <c r="G732" s="7"/>
      <c r="H732" s="2"/>
      <c r="I732" s="61"/>
      <c r="J732" s="8"/>
      <c r="K732" s="9"/>
      <c r="L732" s="10"/>
      <c r="M732" s="11"/>
      <c r="N732" s="6"/>
      <c r="O732" s="12"/>
      <c r="P732" s="6"/>
      <c r="Q732" s="6"/>
    </row>
    <row r="733" spans="1:17" x14ac:dyDescent="0.25">
      <c r="A733" s="2"/>
      <c r="B733" s="3"/>
      <c r="C733" s="4"/>
      <c r="D733" s="58"/>
      <c r="E733" s="5"/>
      <c r="F733" s="6"/>
      <c r="G733" s="7"/>
      <c r="H733" s="2"/>
      <c r="I733" s="61"/>
      <c r="J733" s="8"/>
      <c r="K733" s="9"/>
      <c r="L733" s="10"/>
      <c r="M733" s="11"/>
      <c r="N733" s="6"/>
      <c r="O733" s="12"/>
      <c r="P733" s="6"/>
      <c r="Q733" s="6"/>
    </row>
    <row r="734" spans="1:17" x14ac:dyDescent="0.25">
      <c r="A734" s="2"/>
      <c r="B734" s="3"/>
      <c r="C734" s="4"/>
      <c r="D734" s="58"/>
      <c r="E734" s="5"/>
      <c r="F734" s="6"/>
      <c r="G734" s="7"/>
      <c r="H734" s="2"/>
      <c r="I734" s="61"/>
      <c r="J734" s="8"/>
      <c r="K734" s="9"/>
      <c r="L734" s="10"/>
      <c r="M734" s="11"/>
      <c r="N734" s="6"/>
      <c r="O734" s="12"/>
      <c r="P734" s="6"/>
      <c r="Q734" s="6"/>
    </row>
    <row r="735" spans="1:17" x14ac:dyDescent="0.25">
      <c r="A735" s="2"/>
      <c r="B735" s="3"/>
      <c r="C735" s="4"/>
      <c r="D735" s="58"/>
      <c r="E735" s="5"/>
      <c r="F735" s="6"/>
      <c r="G735" s="7"/>
      <c r="H735" s="2"/>
      <c r="I735" s="61"/>
      <c r="J735" s="8"/>
      <c r="K735" s="9"/>
      <c r="L735" s="10"/>
      <c r="M735" s="11"/>
      <c r="N735" s="6"/>
      <c r="O735" s="12"/>
      <c r="P735" s="6"/>
      <c r="Q735" s="6"/>
    </row>
    <row r="736" spans="1:17" x14ac:dyDescent="0.25">
      <c r="A736" s="2"/>
      <c r="B736" s="3"/>
      <c r="C736" s="4"/>
      <c r="D736" s="58"/>
      <c r="E736" s="5"/>
      <c r="F736" s="6"/>
      <c r="G736" s="7"/>
      <c r="H736" s="2"/>
      <c r="I736" s="61"/>
      <c r="J736" s="8"/>
      <c r="K736" s="9"/>
      <c r="L736" s="10"/>
      <c r="M736" s="11"/>
      <c r="N736" s="6"/>
      <c r="O736" s="12"/>
      <c r="P736" s="6"/>
      <c r="Q736" s="6"/>
    </row>
    <row r="737" spans="1:17" x14ac:dyDescent="0.25">
      <c r="A737" s="2"/>
      <c r="B737" s="3"/>
      <c r="C737" s="4"/>
      <c r="D737" s="58"/>
      <c r="E737" s="5"/>
      <c r="F737" s="6"/>
      <c r="G737" s="7"/>
      <c r="H737" s="2"/>
      <c r="I737" s="61"/>
      <c r="J737" s="8"/>
      <c r="K737" s="9"/>
      <c r="L737" s="10"/>
      <c r="M737" s="11"/>
      <c r="N737" s="6"/>
      <c r="O737" s="12"/>
      <c r="P737" s="6"/>
      <c r="Q737" s="6"/>
    </row>
    <row r="738" spans="1:17" x14ac:dyDescent="0.25">
      <c r="A738" s="2"/>
      <c r="B738" s="3"/>
      <c r="C738" s="4"/>
      <c r="D738" s="58"/>
      <c r="E738" s="5"/>
      <c r="F738" s="6"/>
      <c r="G738" s="7"/>
      <c r="H738" s="2"/>
      <c r="I738" s="61"/>
      <c r="J738" s="8"/>
      <c r="K738" s="9"/>
      <c r="L738" s="10"/>
      <c r="M738" s="11"/>
      <c r="N738" s="6"/>
      <c r="O738" s="12"/>
      <c r="P738" s="6"/>
      <c r="Q738" s="6"/>
    </row>
    <row r="739" spans="1:17" x14ac:dyDescent="0.25">
      <c r="A739" s="2"/>
      <c r="B739" s="3"/>
      <c r="C739" s="4"/>
      <c r="D739" s="58"/>
      <c r="E739" s="5"/>
      <c r="F739" s="6"/>
      <c r="G739" s="7"/>
      <c r="H739" s="2"/>
      <c r="I739" s="61"/>
      <c r="J739" s="8"/>
      <c r="K739" s="9"/>
      <c r="L739" s="10"/>
      <c r="M739" s="11"/>
      <c r="N739" s="6"/>
      <c r="O739" s="12"/>
      <c r="P739" s="6"/>
      <c r="Q739" s="6"/>
    </row>
    <row r="740" spans="1:17" x14ac:dyDescent="0.25">
      <c r="A740" s="2"/>
      <c r="B740" s="3"/>
      <c r="C740" s="4"/>
      <c r="D740" s="58"/>
      <c r="E740" s="5"/>
      <c r="F740" s="6"/>
      <c r="G740" s="7"/>
      <c r="H740" s="2"/>
      <c r="I740" s="61"/>
      <c r="J740" s="8"/>
      <c r="K740" s="9"/>
      <c r="L740" s="10"/>
      <c r="M740" s="11"/>
      <c r="N740" s="6"/>
      <c r="O740" s="12"/>
      <c r="P740" s="6"/>
      <c r="Q740" s="6"/>
    </row>
    <row r="741" spans="1:17" x14ac:dyDescent="0.25">
      <c r="A741" s="2"/>
      <c r="B741" s="3"/>
      <c r="C741" s="4"/>
      <c r="D741" s="58"/>
      <c r="E741" s="5"/>
      <c r="F741" s="6"/>
      <c r="G741" s="7"/>
      <c r="H741" s="2"/>
      <c r="I741" s="61"/>
      <c r="J741" s="8"/>
      <c r="K741" s="9"/>
      <c r="L741" s="10"/>
      <c r="M741" s="11"/>
      <c r="N741" s="6"/>
      <c r="O741" s="12"/>
      <c r="P741" s="6"/>
      <c r="Q741" s="6"/>
    </row>
    <row r="742" spans="1:17" x14ac:dyDescent="0.25">
      <c r="A742" s="2"/>
      <c r="B742" s="3"/>
      <c r="C742" s="4"/>
      <c r="D742" s="58"/>
      <c r="E742" s="5"/>
      <c r="F742" s="6"/>
      <c r="G742" s="7"/>
      <c r="H742" s="2"/>
      <c r="I742" s="61"/>
      <c r="J742" s="8"/>
      <c r="K742" s="9"/>
      <c r="L742" s="10"/>
      <c r="M742" s="11"/>
      <c r="N742" s="6"/>
      <c r="O742" s="12"/>
      <c r="P742" s="6"/>
      <c r="Q742" s="6"/>
    </row>
    <row r="743" spans="1:17" x14ac:dyDescent="0.25">
      <c r="A743" s="2"/>
      <c r="B743" s="3"/>
      <c r="C743" s="4"/>
      <c r="D743" s="58"/>
      <c r="E743" s="5"/>
      <c r="F743" s="6"/>
      <c r="G743" s="7"/>
      <c r="H743" s="2"/>
      <c r="I743" s="61"/>
      <c r="J743" s="8"/>
      <c r="K743" s="9"/>
      <c r="L743" s="10"/>
      <c r="M743" s="11"/>
      <c r="N743" s="6"/>
      <c r="O743" s="12"/>
      <c r="P743" s="6"/>
      <c r="Q743" s="6"/>
    </row>
    <row r="744" spans="1:17" x14ac:dyDescent="0.25">
      <c r="A744" s="2"/>
      <c r="B744" s="3"/>
      <c r="C744" s="4"/>
      <c r="D744" s="58"/>
      <c r="E744" s="5"/>
      <c r="F744" s="14"/>
      <c r="G744" s="32"/>
      <c r="H744" s="13"/>
      <c r="I744" s="61"/>
      <c r="J744" s="8"/>
      <c r="K744" s="9"/>
      <c r="L744" s="10"/>
      <c r="M744" s="15"/>
      <c r="N744" s="6"/>
      <c r="O744" s="12"/>
      <c r="P744" s="6"/>
      <c r="Q744" s="6"/>
    </row>
    <row r="745" spans="1:17" x14ac:dyDescent="0.25">
      <c r="A745" s="2"/>
      <c r="B745" s="3"/>
      <c r="C745" s="4"/>
      <c r="D745" s="58"/>
      <c r="E745" s="5"/>
      <c r="F745" s="14"/>
      <c r="G745" s="32"/>
      <c r="H745" s="13"/>
      <c r="I745" s="61"/>
      <c r="J745" s="8"/>
      <c r="K745" s="9"/>
      <c r="L745" s="10"/>
      <c r="M745" s="15"/>
      <c r="N745" s="6"/>
      <c r="O745" s="12"/>
      <c r="P745" s="6"/>
      <c r="Q745" s="6"/>
    </row>
    <row r="746" spans="1:17" x14ac:dyDescent="0.25">
      <c r="A746" s="2"/>
      <c r="B746" s="3"/>
      <c r="C746" s="4"/>
      <c r="D746" s="58"/>
      <c r="E746" s="5"/>
      <c r="F746" s="6"/>
      <c r="G746" s="7"/>
      <c r="H746" s="2"/>
      <c r="I746" s="61"/>
      <c r="J746" s="8"/>
      <c r="K746" s="9"/>
      <c r="L746" s="10"/>
      <c r="M746" s="11"/>
      <c r="N746" s="6"/>
      <c r="O746" s="12"/>
      <c r="P746" s="6"/>
      <c r="Q746" s="6"/>
    </row>
    <row r="747" spans="1:17" x14ac:dyDescent="0.25">
      <c r="A747" s="2"/>
      <c r="B747" s="3"/>
      <c r="C747" s="4"/>
      <c r="D747" s="58"/>
      <c r="E747" s="5"/>
      <c r="F747" s="6"/>
      <c r="G747" s="7"/>
      <c r="H747" s="2"/>
      <c r="I747" s="61"/>
      <c r="J747" s="8"/>
      <c r="K747" s="9"/>
      <c r="L747" s="10"/>
      <c r="M747" s="11"/>
      <c r="N747" s="6"/>
      <c r="O747" s="12"/>
      <c r="P747" s="6"/>
      <c r="Q747" s="6"/>
    </row>
    <row r="748" spans="1:17" x14ac:dyDescent="0.25">
      <c r="A748" s="2"/>
      <c r="B748" s="3"/>
      <c r="C748" s="4"/>
      <c r="D748" s="58"/>
      <c r="E748" s="5"/>
      <c r="F748" s="6"/>
      <c r="G748" s="7"/>
      <c r="H748" s="2"/>
      <c r="I748" s="61"/>
      <c r="J748" s="8"/>
      <c r="K748" s="9"/>
      <c r="L748" s="10"/>
      <c r="M748" s="11"/>
      <c r="N748" s="6"/>
      <c r="O748" s="12"/>
      <c r="P748" s="6"/>
      <c r="Q748" s="6"/>
    </row>
    <row r="749" spans="1:17" x14ac:dyDescent="0.25">
      <c r="A749" s="2"/>
      <c r="B749" s="3"/>
      <c r="C749" s="4"/>
      <c r="D749" s="58"/>
      <c r="E749" s="5"/>
      <c r="F749" s="6"/>
      <c r="G749" s="7"/>
      <c r="H749" s="2"/>
      <c r="I749" s="61"/>
      <c r="J749" s="8"/>
      <c r="K749" s="9"/>
      <c r="L749" s="10"/>
      <c r="M749" s="11"/>
      <c r="N749" s="6"/>
      <c r="O749" s="12"/>
      <c r="P749" s="6"/>
      <c r="Q749" s="6"/>
    </row>
    <row r="750" spans="1:17" x14ac:dyDescent="0.25">
      <c r="A750" s="2"/>
      <c r="B750" s="3"/>
      <c r="C750" s="4"/>
      <c r="D750" s="58"/>
      <c r="E750" s="5"/>
      <c r="F750" s="6"/>
      <c r="G750" s="7"/>
      <c r="H750" s="2"/>
      <c r="I750" s="61"/>
      <c r="J750" s="8"/>
      <c r="K750" s="9"/>
      <c r="L750" s="10"/>
      <c r="M750" s="11"/>
      <c r="N750" s="6"/>
      <c r="O750" s="12"/>
      <c r="P750" s="6"/>
      <c r="Q750" s="6"/>
    </row>
    <row r="751" spans="1:17" x14ac:dyDescent="0.25">
      <c r="A751" s="2"/>
      <c r="B751" s="3"/>
      <c r="C751" s="4"/>
      <c r="D751" s="58"/>
      <c r="E751" s="5"/>
      <c r="F751" s="6"/>
      <c r="G751" s="7"/>
      <c r="H751" s="2"/>
      <c r="I751" s="61"/>
      <c r="J751" s="8"/>
      <c r="K751" s="9"/>
      <c r="L751" s="10"/>
      <c r="M751" s="11"/>
      <c r="N751" s="6"/>
      <c r="O751" s="12"/>
      <c r="P751" s="6"/>
      <c r="Q751" s="6"/>
    </row>
    <row r="752" spans="1:17" x14ac:dyDescent="0.25">
      <c r="A752" s="2"/>
      <c r="B752" s="3"/>
      <c r="C752" s="4"/>
      <c r="D752" s="58"/>
      <c r="E752" s="5"/>
      <c r="F752" s="6"/>
      <c r="G752" s="7"/>
      <c r="H752" s="2"/>
      <c r="I752" s="61"/>
      <c r="J752" s="8"/>
      <c r="K752" s="9"/>
      <c r="L752" s="10"/>
      <c r="M752" s="11"/>
      <c r="N752" s="6"/>
      <c r="O752" s="12"/>
      <c r="P752" s="6"/>
      <c r="Q752" s="6"/>
    </row>
    <row r="753" spans="1:17" x14ac:dyDescent="0.25">
      <c r="A753" s="2"/>
      <c r="B753" s="3"/>
      <c r="C753" s="4"/>
      <c r="D753" s="58"/>
      <c r="E753" s="5"/>
      <c r="F753" s="6"/>
      <c r="G753" s="7"/>
      <c r="H753" s="2"/>
      <c r="I753" s="61"/>
      <c r="J753" s="8"/>
      <c r="K753" s="9"/>
      <c r="L753" s="10"/>
      <c r="M753" s="11"/>
      <c r="N753" s="6"/>
      <c r="O753" s="12"/>
      <c r="P753" s="6"/>
      <c r="Q753" s="6"/>
    </row>
    <row r="754" spans="1:17" x14ac:dyDescent="0.25">
      <c r="A754" s="2"/>
      <c r="B754" s="3"/>
      <c r="C754" s="4"/>
      <c r="D754" s="58"/>
      <c r="E754" s="5"/>
      <c r="F754" s="6"/>
      <c r="G754" s="7"/>
      <c r="H754" s="2"/>
      <c r="I754" s="61"/>
      <c r="J754" s="8"/>
      <c r="K754" s="9"/>
      <c r="L754" s="10"/>
      <c r="M754" s="11"/>
      <c r="N754" s="6"/>
      <c r="O754" s="12"/>
      <c r="P754" s="6"/>
      <c r="Q754" s="6"/>
    </row>
    <row r="755" spans="1:17" x14ac:dyDescent="0.25">
      <c r="A755" s="2"/>
      <c r="B755" s="3"/>
      <c r="C755" s="4"/>
      <c r="D755" s="58"/>
      <c r="E755" s="5"/>
      <c r="F755" s="6"/>
      <c r="G755" s="7"/>
      <c r="H755" s="2"/>
      <c r="I755" s="61"/>
      <c r="J755" s="8"/>
      <c r="K755" s="9"/>
      <c r="L755" s="10"/>
      <c r="M755" s="11"/>
      <c r="N755" s="6"/>
      <c r="O755" s="12"/>
      <c r="P755" s="6"/>
      <c r="Q755" s="6"/>
    </row>
    <row r="756" spans="1:17" x14ac:dyDescent="0.25">
      <c r="A756" s="2"/>
      <c r="B756" s="3"/>
      <c r="C756" s="4"/>
      <c r="D756" s="58"/>
      <c r="E756" s="5"/>
      <c r="F756" s="6"/>
      <c r="G756" s="7"/>
      <c r="H756" s="2"/>
      <c r="I756" s="61"/>
      <c r="J756" s="8"/>
      <c r="K756" s="9"/>
      <c r="L756" s="10"/>
      <c r="M756" s="11"/>
      <c r="N756" s="6"/>
      <c r="O756" s="12"/>
      <c r="P756" s="6"/>
      <c r="Q756" s="6"/>
    </row>
    <row r="757" spans="1:17" x14ac:dyDescent="0.25">
      <c r="A757" s="2"/>
      <c r="B757" s="3"/>
      <c r="C757" s="4"/>
      <c r="D757" s="58"/>
      <c r="E757" s="5"/>
      <c r="F757" s="6"/>
      <c r="G757" s="7"/>
      <c r="H757" s="2"/>
      <c r="I757" s="61"/>
      <c r="J757" s="8"/>
      <c r="K757" s="9"/>
      <c r="L757" s="10"/>
      <c r="M757" s="11"/>
      <c r="N757" s="6"/>
      <c r="O757" s="12"/>
      <c r="P757" s="6"/>
      <c r="Q757" s="6"/>
    </row>
    <row r="758" spans="1:17" x14ac:dyDescent="0.25">
      <c r="A758" s="2"/>
      <c r="B758" s="3"/>
      <c r="C758" s="4"/>
      <c r="D758" s="58"/>
      <c r="E758" s="5"/>
      <c r="F758" s="6"/>
      <c r="G758" s="7"/>
      <c r="H758" s="2"/>
      <c r="I758" s="61"/>
      <c r="J758" s="8"/>
      <c r="K758" s="9"/>
      <c r="L758" s="10"/>
      <c r="M758" s="11"/>
      <c r="N758" s="6"/>
      <c r="O758" s="12"/>
      <c r="P758" s="6"/>
      <c r="Q758" s="6"/>
    </row>
    <row r="759" spans="1:17" x14ac:dyDescent="0.25">
      <c r="A759" s="2"/>
      <c r="B759" s="3"/>
      <c r="C759" s="4"/>
      <c r="D759" s="58"/>
      <c r="E759" s="5"/>
      <c r="F759" s="6"/>
      <c r="G759" s="7"/>
      <c r="H759" s="2"/>
      <c r="I759" s="61"/>
      <c r="J759" s="8"/>
      <c r="K759" s="9"/>
      <c r="L759" s="10"/>
      <c r="M759" s="11"/>
      <c r="N759" s="6"/>
      <c r="O759" s="12"/>
      <c r="P759" s="6"/>
      <c r="Q759" s="6"/>
    </row>
    <row r="760" spans="1:17" x14ac:dyDescent="0.25">
      <c r="A760" s="2"/>
      <c r="B760" s="3"/>
      <c r="C760" s="4"/>
      <c r="D760" s="58"/>
      <c r="E760" s="5"/>
      <c r="F760" s="6"/>
      <c r="G760" s="7"/>
      <c r="H760" s="2"/>
      <c r="I760" s="61"/>
      <c r="J760" s="8"/>
      <c r="K760" s="9"/>
      <c r="L760" s="10"/>
      <c r="M760" s="11"/>
      <c r="N760" s="6"/>
      <c r="O760" s="12"/>
      <c r="P760" s="6"/>
      <c r="Q760" s="6"/>
    </row>
    <row r="761" spans="1:17" x14ac:dyDescent="0.25">
      <c r="A761" s="2"/>
      <c r="B761" s="3"/>
      <c r="C761" s="4"/>
      <c r="D761" s="58"/>
      <c r="E761" s="5"/>
      <c r="F761" s="6"/>
      <c r="G761" s="7"/>
      <c r="H761" s="2"/>
      <c r="I761" s="61"/>
      <c r="J761" s="8"/>
      <c r="K761" s="9"/>
      <c r="L761" s="10"/>
      <c r="M761" s="11"/>
      <c r="N761" s="6"/>
      <c r="O761" s="12"/>
      <c r="P761" s="6"/>
      <c r="Q761" s="6"/>
    </row>
    <row r="762" spans="1:17" x14ac:dyDescent="0.25">
      <c r="A762" s="2"/>
      <c r="B762" s="3"/>
      <c r="C762" s="4"/>
      <c r="D762" s="58"/>
      <c r="E762" s="5"/>
      <c r="F762" s="6"/>
      <c r="G762" s="7"/>
      <c r="H762" s="2"/>
      <c r="I762" s="61"/>
      <c r="J762" s="8"/>
      <c r="K762" s="9"/>
      <c r="L762" s="10"/>
      <c r="M762" s="11"/>
      <c r="N762" s="6"/>
      <c r="O762" s="12"/>
      <c r="P762" s="6"/>
      <c r="Q762" s="6"/>
    </row>
    <row r="763" spans="1:17" x14ac:dyDescent="0.25">
      <c r="A763" s="2"/>
      <c r="B763" s="3"/>
      <c r="C763" s="4"/>
      <c r="D763" s="58"/>
      <c r="E763" s="5"/>
      <c r="F763" s="6"/>
      <c r="G763" s="7"/>
      <c r="H763" s="2"/>
      <c r="I763" s="61"/>
      <c r="J763" s="8"/>
      <c r="K763" s="9"/>
      <c r="L763" s="10"/>
      <c r="M763" s="11"/>
      <c r="N763" s="6"/>
      <c r="O763" s="12"/>
      <c r="P763" s="6"/>
      <c r="Q763" s="6"/>
    </row>
    <row r="764" spans="1:17" x14ac:dyDescent="0.25">
      <c r="A764" s="2"/>
      <c r="B764" s="3"/>
      <c r="C764" s="4"/>
      <c r="D764" s="58"/>
      <c r="E764" s="5"/>
      <c r="F764" s="6"/>
      <c r="G764" s="7"/>
      <c r="H764" s="2"/>
      <c r="I764" s="61"/>
      <c r="J764" s="8"/>
      <c r="K764" s="9"/>
      <c r="L764" s="10"/>
      <c r="M764" s="11"/>
      <c r="N764" s="6"/>
      <c r="O764" s="12"/>
      <c r="P764" s="6"/>
      <c r="Q764" s="6"/>
    </row>
    <row r="765" spans="1:17" x14ac:dyDescent="0.25">
      <c r="A765" s="2"/>
      <c r="B765" s="3"/>
      <c r="C765" s="4"/>
      <c r="D765" s="58"/>
      <c r="E765" s="5"/>
      <c r="F765" s="6"/>
      <c r="G765" s="7"/>
      <c r="H765" s="2"/>
      <c r="I765" s="61"/>
      <c r="J765" s="8"/>
      <c r="K765" s="9"/>
      <c r="L765" s="10"/>
      <c r="M765" s="11"/>
      <c r="N765" s="6"/>
      <c r="O765" s="12"/>
      <c r="P765" s="6"/>
      <c r="Q765" s="6"/>
    </row>
    <row r="766" spans="1:17" x14ac:dyDescent="0.25">
      <c r="A766" s="2"/>
      <c r="B766" s="3"/>
      <c r="C766" s="4"/>
      <c r="D766" s="58"/>
      <c r="E766" s="5"/>
      <c r="F766" s="6"/>
      <c r="G766" s="7"/>
      <c r="H766" s="2"/>
      <c r="I766" s="61"/>
      <c r="J766" s="8"/>
      <c r="K766" s="9"/>
      <c r="L766" s="10"/>
      <c r="M766" s="11"/>
      <c r="N766" s="6"/>
      <c r="O766" s="12"/>
      <c r="P766" s="6"/>
      <c r="Q766" s="6"/>
    </row>
    <row r="767" spans="1:17" x14ac:dyDescent="0.25">
      <c r="A767" s="2"/>
      <c r="B767" s="3"/>
      <c r="C767" s="4"/>
      <c r="D767" s="58"/>
      <c r="E767" s="5"/>
      <c r="F767" s="6"/>
      <c r="G767" s="7"/>
      <c r="H767" s="2"/>
      <c r="I767" s="61"/>
      <c r="J767" s="8"/>
      <c r="K767" s="9"/>
      <c r="L767" s="10"/>
      <c r="M767" s="11"/>
      <c r="N767" s="6"/>
      <c r="O767" s="12"/>
      <c r="P767" s="6"/>
      <c r="Q767" s="6"/>
    </row>
    <row r="768" spans="1:17" x14ac:dyDescent="0.25">
      <c r="A768" s="2"/>
      <c r="B768" s="3"/>
      <c r="C768" s="4"/>
      <c r="D768" s="58"/>
      <c r="E768" s="5"/>
      <c r="F768" s="6"/>
      <c r="G768" s="7"/>
      <c r="H768" s="2"/>
      <c r="I768" s="61"/>
      <c r="J768" s="8"/>
      <c r="K768" s="9"/>
      <c r="L768" s="10"/>
      <c r="M768" s="11"/>
      <c r="N768" s="6"/>
      <c r="O768" s="12"/>
      <c r="P768" s="6"/>
      <c r="Q768" s="6"/>
    </row>
    <row r="769" spans="1:17" x14ac:dyDescent="0.25">
      <c r="A769" s="2"/>
      <c r="B769" s="3"/>
      <c r="C769" s="4"/>
      <c r="D769" s="58"/>
      <c r="E769" s="5"/>
      <c r="F769" s="6"/>
      <c r="G769" s="7"/>
      <c r="H769" s="2"/>
      <c r="I769" s="61"/>
      <c r="J769" s="8"/>
      <c r="K769" s="9"/>
      <c r="L769" s="10"/>
      <c r="M769" s="11"/>
      <c r="N769" s="6"/>
      <c r="O769" s="12"/>
      <c r="P769" s="6"/>
      <c r="Q769" s="6"/>
    </row>
    <row r="770" spans="1:17" x14ac:dyDescent="0.25">
      <c r="A770" s="2"/>
      <c r="B770" s="3"/>
      <c r="C770" s="4"/>
      <c r="D770" s="58"/>
      <c r="E770" s="5"/>
      <c r="F770" s="6"/>
      <c r="G770" s="7"/>
      <c r="H770" s="2"/>
      <c r="I770" s="61"/>
      <c r="J770" s="8"/>
      <c r="K770" s="9"/>
      <c r="L770" s="10"/>
      <c r="M770" s="11"/>
      <c r="N770" s="6"/>
      <c r="O770" s="12"/>
      <c r="P770" s="6"/>
      <c r="Q770" s="6"/>
    </row>
    <row r="771" spans="1:17" x14ac:dyDescent="0.25">
      <c r="A771" s="2"/>
      <c r="B771" s="3"/>
      <c r="C771" s="4"/>
      <c r="D771" s="58"/>
      <c r="E771" s="5"/>
      <c r="F771" s="6"/>
      <c r="G771" s="7"/>
      <c r="H771" s="2"/>
      <c r="I771" s="61"/>
      <c r="J771" s="8"/>
      <c r="K771" s="9"/>
      <c r="L771" s="10"/>
      <c r="M771" s="11"/>
      <c r="N771" s="6"/>
      <c r="O771" s="12"/>
      <c r="P771" s="6"/>
      <c r="Q771" s="6"/>
    </row>
    <row r="772" spans="1:17" x14ac:dyDescent="0.25">
      <c r="A772" s="2"/>
      <c r="B772" s="3"/>
      <c r="C772" s="4"/>
      <c r="D772" s="58"/>
      <c r="E772" s="5"/>
      <c r="F772" s="6"/>
      <c r="G772" s="7"/>
      <c r="H772" s="2"/>
      <c r="I772" s="61"/>
      <c r="J772" s="8"/>
      <c r="K772" s="9"/>
      <c r="L772" s="10"/>
      <c r="M772" s="11"/>
      <c r="N772" s="6"/>
      <c r="O772" s="12"/>
      <c r="P772" s="6"/>
      <c r="Q772" s="6"/>
    </row>
    <row r="773" spans="1:17" x14ac:dyDescent="0.25">
      <c r="A773" s="2"/>
      <c r="B773" s="3"/>
      <c r="C773" s="4"/>
      <c r="D773" s="58"/>
      <c r="E773" s="5"/>
      <c r="F773" s="6"/>
      <c r="G773" s="7"/>
      <c r="H773" s="2"/>
      <c r="I773" s="61"/>
      <c r="J773" s="8"/>
      <c r="K773" s="9"/>
      <c r="L773" s="10"/>
      <c r="M773" s="11"/>
      <c r="N773" s="6"/>
      <c r="O773" s="12"/>
      <c r="P773" s="6"/>
      <c r="Q773" s="6"/>
    </row>
    <row r="774" spans="1:17" x14ac:dyDescent="0.25">
      <c r="A774" s="2"/>
      <c r="B774" s="3"/>
      <c r="C774" s="4"/>
      <c r="D774" s="58"/>
      <c r="E774" s="5"/>
      <c r="F774" s="6"/>
      <c r="G774" s="7"/>
      <c r="H774" s="2"/>
      <c r="I774" s="61"/>
      <c r="J774" s="8"/>
      <c r="K774" s="9"/>
      <c r="L774" s="10"/>
      <c r="M774" s="11"/>
      <c r="N774" s="6"/>
      <c r="O774" s="12"/>
      <c r="P774" s="6"/>
      <c r="Q774" s="6"/>
    </row>
    <row r="775" spans="1:17" x14ac:dyDescent="0.25">
      <c r="A775" s="2"/>
      <c r="B775" s="3"/>
      <c r="C775" s="4"/>
      <c r="D775" s="58"/>
      <c r="E775" s="5"/>
      <c r="F775" s="6"/>
      <c r="G775" s="7"/>
      <c r="H775" s="2"/>
      <c r="I775" s="61"/>
      <c r="J775" s="8"/>
      <c r="K775" s="9"/>
      <c r="L775" s="10"/>
      <c r="M775" s="11"/>
      <c r="N775" s="6"/>
      <c r="O775" s="12"/>
      <c r="P775" s="6"/>
      <c r="Q775" s="6"/>
    </row>
    <row r="776" spans="1:17" x14ac:dyDescent="0.25">
      <c r="A776" s="2"/>
      <c r="B776" s="3"/>
      <c r="C776" s="4"/>
      <c r="D776" s="58"/>
      <c r="E776" s="5"/>
      <c r="F776" s="6"/>
      <c r="G776" s="7"/>
      <c r="H776" s="2"/>
      <c r="I776" s="61"/>
      <c r="J776" s="8"/>
      <c r="K776" s="9"/>
      <c r="L776" s="10"/>
      <c r="M776" s="11"/>
      <c r="N776" s="6"/>
      <c r="O776" s="12"/>
      <c r="P776" s="6"/>
      <c r="Q776" s="6"/>
    </row>
    <row r="777" spans="1:17" x14ac:dyDescent="0.25">
      <c r="A777" s="2"/>
      <c r="B777" s="3"/>
      <c r="C777" s="4"/>
      <c r="D777" s="58"/>
      <c r="E777" s="5"/>
      <c r="F777" s="6"/>
      <c r="G777" s="7"/>
      <c r="H777" s="2"/>
      <c r="I777" s="61"/>
      <c r="J777" s="8"/>
      <c r="K777" s="9"/>
      <c r="L777" s="10"/>
      <c r="M777" s="11"/>
      <c r="N777" s="6"/>
      <c r="O777" s="12"/>
      <c r="P777" s="6"/>
      <c r="Q777" s="6"/>
    </row>
    <row r="778" spans="1:17" x14ac:dyDescent="0.25">
      <c r="A778" s="2"/>
      <c r="B778" s="3"/>
      <c r="C778" s="4"/>
      <c r="D778" s="58"/>
      <c r="E778" s="5"/>
      <c r="F778" s="6"/>
      <c r="G778" s="7"/>
      <c r="H778" s="2"/>
      <c r="I778" s="61"/>
      <c r="J778" s="8"/>
      <c r="K778" s="9"/>
      <c r="L778" s="10"/>
      <c r="M778" s="11"/>
      <c r="N778" s="6"/>
      <c r="O778" s="12"/>
      <c r="P778" s="6"/>
      <c r="Q778" s="6"/>
    </row>
    <row r="779" spans="1:17" x14ac:dyDescent="0.25">
      <c r="A779" s="2"/>
      <c r="B779" s="3"/>
      <c r="C779" s="4"/>
      <c r="D779" s="58"/>
      <c r="E779" s="5"/>
      <c r="F779" s="6"/>
      <c r="G779" s="7"/>
      <c r="H779" s="2"/>
      <c r="I779" s="61"/>
      <c r="J779" s="8"/>
      <c r="K779" s="9"/>
      <c r="L779" s="10"/>
      <c r="M779" s="11"/>
      <c r="N779" s="6"/>
      <c r="O779" s="12"/>
      <c r="P779" s="6"/>
      <c r="Q779" s="6"/>
    </row>
    <row r="780" spans="1:17" x14ac:dyDescent="0.25">
      <c r="A780" s="2"/>
      <c r="B780" s="3"/>
      <c r="C780" s="4"/>
      <c r="D780" s="58"/>
      <c r="E780" s="5"/>
      <c r="F780" s="6"/>
      <c r="G780" s="7"/>
      <c r="H780" s="2"/>
      <c r="I780" s="61"/>
      <c r="J780" s="8"/>
      <c r="K780" s="9"/>
      <c r="L780" s="10"/>
      <c r="M780" s="11"/>
      <c r="N780" s="6"/>
      <c r="O780" s="12"/>
      <c r="P780" s="6"/>
      <c r="Q780" s="6"/>
    </row>
    <row r="781" spans="1:17" x14ac:dyDescent="0.25">
      <c r="A781" s="2"/>
      <c r="B781" s="3"/>
      <c r="C781" s="4"/>
      <c r="D781" s="58"/>
      <c r="E781" s="5"/>
      <c r="F781" s="6"/>
      <c r="G781" s="7"/>
      <c r="H781" s="2"/>
      <c r="I781" s="61"/>
      <c r="J781" s="8"/>
      <c r="K781" s="9"/>
      <c r="L781" s="10"/>
      <c r="M781" s="11"/>
      <c r="N781" s="6"/>
      <c r="O781" s="12"/>
      <c r="P781" s="6"/>
      <c r="Q781" s="6"/>
    </row>
    <row r="782" spans="1:17" x14ac:dyDescent="0.25">
      <c r="A782" s="2"/>
      <c r="B782" s="3"/>
      <c r="C782" s="4"/>
      <c r="D782" s="58"/>
      <c r="E782" s="5"/>
      <c r="F782" s="6"/>
      <c r="G782" s="7"/>
      <c r="H782" s="2"/>
      <c r="I782" s="61"/>
      <c r="J782" s="8"/>
      <c r="K782" s="9"/>
      <c r="L782" s="10"/>
      <c r="M782" s="11"/>
      <c r="N782" s="6"/>
      <c r="O782" s="12"/>
      <c r="P782" s="6"/>
      <c r="Q782" s="6"/>
    </row>
    <row r="783" spans="1:17" x14ac:dyDescent="0.25">
      <c r="A783" s="2"/>
      <c r="B783" s="3"/>
      <c r="C783" s="4"/>
      <c r="D783" s="58"/>
      <c r="E783" s="5"/>
      <c r="F783" s="6"/>
      <c r="G783" s="7"/>
      <c r="H783" s="2"/>
      <c r="I783" s="61"/>
      <c r="J783" s="8"/>
      <c r="K783" s="9"/>
      <c r="L783" s="10"/>
      <c r="M783" s="11"/>
      <c r="N783" s="6"/>
      <c r="O783" s="12"/>
      <c r="P783" s="6"/>
      <c r="Q783" s="6"/>
    </row>
    <row r="784" spans="1:17" x14ac:dyDescent="0.25">
      <c r="A784" s="2"/>
      <c r="B784" s="3"/>
      <c r="C784" s="4"/>
      <c r="D784" s="58"/>
      <c r="E784" s="5"/>
      <c r="F784" s="6"/>
      <c r="G784" s="7"/>
      <c r="H784" s="2"/>
      <c r="I784" s="61"/>
      <c r="J784" s="8"/>
      <c r="K784" s="9"/>
      <c r="L784" s="10"/>
      <c r="M784" s="11"/>
      <c r="N784" s="6"/>
      <c r="O784" s="12"/>
      <c r="P784" s="6"/>
      <c r="Q784" s="6"/>
    </row>
    <row r="785" spans="1:17" x14ac:dyDescent="0.25">
      <c r="A785" s="2"/>
      <c r="B785" s="3"/>
      <c r="C785" s="4"/>
      <c r="D785" s="58"/>
      <c r="E785" s="5"/>
      <c r="F785" s="6"/>
      <c r="G785" s="7"/>
      <c r="H785" s="2"/>
      <c r="I785" s="61"/>
      <c r="J785" s="8"/>
      <c r="K785" s="9"/>
      <c r="L785" s="10"/>
      <c r="M785" s="11"/>
      <c r="N785" s="6"/>
      <c r="O785" s="12"/>
      <c r="P785" s="6"/>
      <c r="Q785" s="6"/>
    </row>
    <row r="786" spans="1:17" x14ac:dyDescent="0.25">
      <c r="A786" s="2"/>
      <c r="B786" s="3"/>
      <c r="C786" s="4"/>
      <c r="D786" s="58"/>
      <c r="E786" s="5"/>
      <c r="F786" s="6"/>
      <c r="G786" s="7"/>
      <c r="H786" s="2"/>
      <c r="I786" s="61"/>
      <c r="J786" s="8"/>
      <c r="K786" s="9"/>
      <c r="L786" s="10"/>
      <c r="M786" s="11"/>
      <c r="N786" s="6"/>
      <c r="O786" s="12"/>
      <c r="P786" s="6"/>
      <c r="Q786" s="6"/>
    </row>
    <row r="787" spans="1:17" x14ac:dyDescent="0.25">
      <c r="A787" s="2"/>
      <c r="B787" s="3"/>
      <c r="C787" s="4"/>
      <c r="D787" s="58"/>
      <c r="E787" s="5"/>
      <c r="F787" s="6"/>
      <c r="G787" s="7"/>
      <c r="H787" s="2"/>
      <c r="I787" s="61"/>
      <c r="J787" s="8"/>
      <c r="K787" s="9"/>
      <c r="L787" s="10"/>
      <c r="M787" s="11"/>
      <c r="N787" s="6"/>
      <c r="O787" s="12"/>
      <c r="P787" s="6"/>
      <c r="Q787" s="6"/>
    </row>
    <row r="788" spans="1:17" x14ac:dyDescent="0.25">
      <c r="A788" s="2"/>
      <c r="B788" s="3"/>
      <c r="C788" s="4"/>
      <c r="D788" s="58"/>
      <c r="E788" s="5"/>
      <c r="F788" s="6"/>
      <c r="G788" s="7"/>
      <c r="H788" s="2"/>
      <c r="I788" s="61"/>
      <c r="J788" s="8"/>
      <c r="K788" s="9"/>
      <c r="L788" s="10"/>
      <c r="M788" s="11"/>
      <c r="N788" s="6"/>
      <c r="O788" s="12"/>
      <c r="P788" s="6"/>
      <c r="Q788" s="6"/>
    </row>
    <row r="789" spans="1:17" x14ac:dyDescent="0.25">
      <c r="A789" s="2"/>
      <c r="B789" s="3"/>
      <c r="C789" s="4"/>
      <c r="D789" s="58"/>
      <c r="E789" s="5"/>
      <c r="F789" s="6"/>
      <c r="G789" s="7"/>
      <c r="H789" s="2"/>
      <c r="I789" s="61"/>
      <c r="J789" s="8"/>
      <c r="K789" s="9"/>
      <c r="L789" s="10"/>
      <c r="M789" s="11"/>
      <c r="N789" s="6"/>
      <c r="O789" s="12"/>
      <c r="P789" s="6"/>
      <c r="Q789" s="6"/>
    </row>
    <row r="790" spans="1:17" x14ac:dyDescent="0.25">
      <c r="A790" s="2"/>
      <c r="B790" s="3"/>
      <c r="C790" s="4"/>
      <c r="D790" s="58"/>
      <c r="E790" s="5"/>
      <c r="F790" s="6"/>
      <c r="G790" s="7"/>
      <c r="H790" s="2"/>
      <c r="I790" s="61"/>
      <c r="J790" s="8"/>
      <c r="K790" s="9"/>
      <c r="L790" s="10"/>
      <c r="M790" s="11"/>
      <c r="N790" s="6"/>
      <c r="O790" s="12"/>
      <c r="P790" s="6"/>
      <c r="Q790" s="6"/>
    </row>
    <row r="791" spans="1:17" x14ac:dyDescent="0.25">
      <c r="A791" s="2"/>
      <c r="B791" s="3"/>
      <c r="C791" s="4"/>
      <c r="D791" s="58"/>
      <c r="E791" s="5"/>
      <c r="F791" s="6"/>
      <c r="G791" s="7"/>
      <c r="H791" s="2"/>
      <c r="I791" s="61"/>
      <c r="J791" s="8"/>
      <c r="K791" s="9"/>
      <c r="L791" s="10"/>
      <c r="M791" s="11"/>
      <c r="N791" s="6"/>
      <c r="O791" s="12"/>
      <c r="P791" s="6"/>
      <c r="Q791" s="6"/>
    </row>
    <row r="792" spans="1:17" x14ac:dyDescent="0.25">
      <c r="A792" s="2"/>
      <c r="B792" s="3"/>
      <c r="C792" s="4"/>
      <c r="D792" s="58"/>
      <c r="E792" s="5"/>
      <c r="F792" s="6"/>
      <c r="G792" s="7"/>
      <c r="H792" s="2"/>
      <c r="I792" s="61"/>
      <c r="J792" s="8"/>
      <c r="K792" s="9"/>
      <c r="L792" s="10"/>
      <c r="M792" s="11"/>
      <c r="N792" s="6"/>
      <c r="O792" s="12"/>
      <c r="P792" s="6"/>
      <c r="Q792" s="6"/>
    </row>
    <row r="793" spans="1:17" x14ac:dyDescent="0.25">
      <c r="A793" s="2"/>
      <c r="B793" s="3"/>
      <c r="C793" s="4"/>
      <c r="D793" s="58"/>
      <c r="E793" s="5"/>
      <c r="F793" s="6"/>
      <c r="G793" s="7"/>
      <c r="H793" s="2"/>
      <c r="I793" s="61"/>
      <c r="J793" s="8"/>
      <c r="K793" s="9"/>
      <c r="L793" s="10"/>
      <c r="M793" s="11"/>
      <c r="N793" s="6"/>
      <c r="O793" s="12"/>
      <c r="P793" s="6"/>
      <c r="Q793" s="6"/>
    </row>
    <row r="794" spans="1:17" x14ac:dyDescent="0.25">
      <c r="A794" s="2"/>
      <c r="B794" s="3"/>
      <c r="C794" s="4"/>
      <c r="D794" s="58"/>
      <c r="E794" s="5"/>
      <c r="F794" s="6"/>
      <c r="G794" s="7"/>
      <c r="H794" s="2"/>
      <c r="I794" s="61"/>
      <c r="J794" s="8"/>
      <c r="K794" s="9"/>
      <c r="L794" s="10"/>
      <c r="M794" s="11"/>
      <c r="N794" s="6"/>
      <c r="O794" s="12"/>
      <c r="P794" s="6"/>
      <c r="Q794" s="6"/>
    </row>
    <row r="795" spans="1:17" x14ac:dyDescent="0.25">
      <c r="A795" s="2"/>
      <c r="B795" s="3"/>
      <c r="C795" s="4"/>
      <c r="D795" s="58"/>
      <c r="E795" s="5"/>
      <c r="F795" s="6"/>
      <c r="G795" s="7"/>
      <c r="H795" s="2"/>
      <c r="I795" s="61"/>
      <c r="J795" s="8"/>
      <c r="K795" s="9"/>
      <c r="L795" s="10"/>
      <c r="M795" s="11"/>
      <c r="N795" s="6"/>
      <c r="O795" s="12"/>
      <c r="P795" s="6"/>
      <c r="Q795" s="6"/>
    </row>
    <row r="796" spans="1:17" x14ac:dyDescent="0.25">
      <c r="A796" s="2"/>
      <c r="B796" s="3"/>
      <c r="C796" s="4"/>
      <c r="D796" s="58"/>
      <c r="E796" s="5"/>
      <c r="F796" s="6"/>
      <c r="G796" s="7"/>
      <c r="H796" s="2"/>
      <c r="I796" s="61"/>
      <c r="J796" s="8"/>
      <c r="K796" s="9"/>
      <c r="L796" s="10"/>
      <c r="M796" s="11"/>
      <c r="N796" s="6"/>
      <c r="O796" s="12"/>
      <c r="P796" s="6"/>
      <c r="Q796" s="6"/>
    </row>
    <row r="797" spans="1:17" x14ac:dyDescent="0.25">
      <c r="A797" s="2"/>
      <c r="B797" s="3"/>
      <c r="C797" s="4"/>
      <c r="D797" s="58"/>
      <c r="E797" s="5"/>
      <c r="F797" s="6"/>
      <c r="G797" s="7"/>
      <c r="H797" s="2"/>
      <c r="I797" s="61"/>
      <c r="J797" s="8"/>
      <c r="K797" s="9"/>
      <c r="L797" s="10"/>
      <c r="M797" s="11"/>
      <c r="N797" s="6"/>
      <c r="O797" s="12"/>
      <c r="P797" s="6"/>
      <c r="Q797" s="6"/>
    </row>
    <row r="798" spans="1:17" x14ac:dyDescent="0.25">
      <c r="A798" s="2"/>
      <c r="B798" s="3"/>
      <c r="C798" s="4"/>
      <c r="D798" s="58"/>
      <c r="E798" s="5"/>
      <c r="F798" s="6"/>
      <c r="G798" s="7"/>
      <c r="H798" s="2"/>
      <c r="I798" s="61"/>
      <c r="J798" s="8"/>
      <c r="K798" s="9"/>
      <c r="L798" s="10"/>
      <c r="M798" s="11"/>
      <c r="N798" s="6"/>
      <c r="O798" s="12"/>
      <c r="P798" s="6"/>
      <c r="Q798" s="6"/>
    </row>
    <row r="799" spans="1:17" x14ac:dyDescent="0.25">
      <c r="A799" s="2"/>
      <c r="B799" s="3"/>
      <c r="C799" s="4"/>
      <c r="D799" s="58"/>
      <c r="E799" s="5"/>
      <c r="F799" s="6"/>
      <c r="G799" s="7"/>
      <c r="H799" s="2"/>
      <c r="I799" s="61"/>
      <c r="J799" s="8"/>
      <c r="K799" s="9"/>
      <c r="L799" s="10"/>
      <c r="M799" s="11"/>
      <c r="N799" s="6"/>
      <c r="O799" s="12"/>
      <c r="P799" s="6"/>
      <c r="Q799" s="6"/>
    </row>
    <row r="800" spans="1:17" x14ac:dyDescent="0.25">
      <c r="A800" s="2"/>
      <c r="B800" s="3"/>
      <c r="C800" s="4"/>
      <c r="D800" s="58"/>
      <c r="E800" s="5"/>
      <c r="F800" s="6"/>
      <c r="G800" s="7"/>
      <c r="H800" s="2"/>
      <c r="I800" s="61"/>
      <c r="J800" s="8"/>
      <c r="K800" s="9"/>
      <c r="L800" s="10"/>
      <c r="M800" s="11"/>
      <c r="N800" s="6"/>
      <c r="O800" s="12"/>
      <c r="P800" s="6"/>
      <c r="Q800" s="6"/>
    </row>
    <row r="801" spans="1:17" x14ac:dyDescent="0.25">
      <c r="A801" s="2"/>
      <c r="B801" s="3"/>
      <c r="C801" s="4"/>
      <c r="D801" s="58"/>
      <c r="E801" s="5"/>
      <c r="F801" s="6"/>
      <c r="G801" s="7"/>
      <c r="H801" s="2"/>
      <c r="I801" s="61"/>
      <c r="J801" s="8"/>
      <c r="K801" s="9"/>
      <c r="L801" s="10"/>
      <c r="M801" s="11"/>
      <c r="N801" s="6"/>
      <c r="O801" s="12"/>
      <c r="P801" s="6"/>
      <c r="Q801" s="6"/>
    </row>
    <row r="802" spans="1:17" x14ac:dyDescent="0.25">
      <c r="A802" s="2"/>
      <c r="B802" s="3"/>
      <c r="C802" s="4"/>
      <c r="D802" s="58"/>
      <c r="E802" s="5"/>
      <c r="F802" s="6"/>
      <c r="G802" s="7"/>
      <c r="H802" s="2"/>
      <c r="I802" s="61"/>
      <c r="J802" s="8"/>
      <c r="K802" s="9"/>
      <c r="L802" s="10"/>
      <c r="M802" s="11"/>
      <c r="N802" s="6"/>
      <c r="O802" s="12"/>
      <c r="P802" s="6"/>
      <c r="Q802" s="6"/>
    </row>
    <row r="803" spans="1:17" x14ac:dyDescent="0.25">
      <c r="A803" s="2"/>
      <c r="B803" s="3"/>
      <c r="C803" s="4"/>
      <c r="D803" s="58"/>
      <c r="E803" s="5"/>
      <c r="F803" s="6"/>
      <c r="G803" s="7"/>
      <c r="H803" s="2"/>
      <c r="I803" s="61"/>
      <c r="J803" s="8"/>
      <c r="K803" s="9"/>
      <c r="L803" s="10"/>
      <c r="M803" s="11"/>
      <c r="N803" s="6"/>
      <c r="O803" s="12"/>
      <c r="P803" s="6"/>
      <c r="Q803" s="6"/>
    </row>
    <row r="804" spans="1:17" x14ac:dyDescent="0.25">
      <c r="A804" s="2"/>
      <c r="B804" s="3"/>
      <c r="C804" s="4"/>
      <c r="D804" s="58"/>
      <c r="E804" s="5"/>
      <c r="F804" s="6"/>
      <c r="G804" s="7"/>
      <c r="H804" s="2"/>
      <c r="I804" s="61"/>
      <c r="J804" s="8"/>
      <c r="K804" s="9"/>
      <c r="L804" s="10"/>
      <c r="M804" s="11"/>
      <c r="N804" s="6"/>
      <c r="O804" s="12"/>
      <c r="P804" s="6"/>
      <c r="Q804" s="6"/>
    </row>
    <row r="805" spans="1:17" x14ac:dyDescent="0.25">
      <c r="A805" s="2"/>
      <c r="B805" s="3"/>
      <c r="C805" s="4"/>
      <c r="D805" s="58"/>
      <c r="E805" s="5"/>
      <c r="F805" s="6"/>
      <c r="G805" s="7"/>
      <c r="H805" s="2"/>
      <c r="I805" s="61"/>
      <c r="J805" s="8"/>
      <c r="K805" s="9"/>
      <c r="L805" s="10"/>
      <c r="M805" s="11"/>
      <c r="N805" s="6"/>
      <c r="O805" s="12"/>
      <c r="P805" s="6"/>
      <c r="Q805" s="6"/>
    </row>
    <row r="806" spans="1:17" x14ac:dyDescent="0.25">
      <c r="A806" s="2"/>
      <c r="B806" s="3"/>
      <c r="C806" s="4"/>
      <c r="D806" s="58"/>
      <c r="E806" s="5"/>
      <c r="F806" s="6"/>
      <c r="G806" s="7"/>
      <c r="H806" s="2"/>
      <c r="I806" s="61"/>
      <c r="J806" s="8"/>
      <c r="K806" s="9"/>
      <c r="L806" s="10"/>
      <c r="M806" s="11"/>
      <c r="N806" s="6"/>
      <c r="O806" s="12"/>
      <c r="P806" s="6"/>
      <c r="Q806" s="6"/>
    </row>
    <row r="807" spans="1:17" x14ac:dyDescent="0.25">
      <c r="A807" s="2"/>
      <c r="B807" s="3"/>
      <c r="C807" s="4"/>
      <c r="D807" s="58"/>
      <c r="E807" s="5"/>
      <c r="F807" s="6"/>
      <c r="G807" s="7"/>
      <c r="H807" s="2"/>
      <c r="I807" s="61"/>
      <c r="J807" s="8"/>
      <c r="K807" s="9"/>
      <c r="L807" s="10"/>
      <c r="M807" s="11"/>
      <c r="N807" s="6"/>
      <c r="O807" s="12"/>
      <c r="P807" s="6"/>
      <c r="Q807" s="6"/>
    </row>
    <row r="808" spans="1:17" x14ac:dyDescent="0.25">
      <c r="A808" s="2"/>
      <c r="B808" s="3"/>
      <c r="C808" s="4"/>
      <c r="D808" s="58"/>
      <c r="E808" s="5"/>
      <c r="F808" s="6"/>
      <c r="G808" s="7"/>
      <c r="H808" s="2"/>
      <c r="I808" s="61"/>
      <c r="J808" s="8"/>
      <c r="K808" s="9"/>
      <c r="L808" s="10"/>
      <c r="M808" s="11"/>
      <c r="N808" s="6"/>
      <c r="O808" s="12"/>
      <c r="P808" s="6"/>
      <c r="Q808" s="6"/>
    </row>
    <row r="809" spans="1:17" x14ac:dyDescent="0.25">
      <c r="A809" s="2"/>
      <c r="B809" s="3"/>
      <c r="C809" s="4"/>
      <c r="D809" s="58"/>
      <c r="E809" s="5"/>
      <c r="F809" s="6"/>
      <c r="G809" s="7"/>
      <c r="H809" s="2"/>
      <c r="I809" s="61"/>
      <c r="J809" s="8"/>
      <c r="K809" s="9"/>
      <c r="L809" s="10"/>
      <c r="M809" s="11"/>
      <c r="N809" s="6"/>
      <c r="O809" s="12"/>
      <c r="P809" s="6"/>
      <c r="Q809" s="6"/>
    </row>
    <row r="810" spans="1:17" x14ac:dyDescent="0.25">
      <c r="A810" s="2"/>
      <c r="B810" s="3"/>
      <c r="C810" s="4"/>
      <c r="D810" s="58"/>
      <c r="E810" s="5"/>
      <c r="F810" s="6"/>
      <c r="G810" s="7"/>
      <c r="H810" s="2"/>
      <c r="I810" s="61"/>
      <c r="J810" s="8"/>
      <c r="K810" s="9"/>
      <c r="L810" s="10"/>
      <c r="M810" s="11"/>
      <c r="N810" s="6"/>
      <c r="O810" s="12"/>
      <c r="P810" s="6"/>
      <c r="Q810" s="6"/>
    </row>
    <row r="811" spans="1:17" x14ac:dyDescent="0.25">
      <c r="A811" s="2"/>
      <c r="B811" s="3"/>
      <c r="C811" s="4"/>
      <c r="D811" s="58"/>
      <c r="E811" s="5"/>
      <c r="F811" s="6"/>
      <c r="G811" s="7"/>
      <c r="H811" s="2"/>
      <c r="I811" s="61"/>
      <c r="J811" s="8"/>
      <c r="K811" s="9"/>
      <c r="L811" s="10"/>
      <c r="M811" s="11"/>
      <c r="N811" s="6"/>
      <c r="O811" s="12"/>
      <c r="P811" s="6"/>
      <c r="Q811" s="6"/>
    </row>
    <row r="812" spans="1:17" x14ac:dyDescent="0.25">
      <c r="A812" s="2"/>
      <c r="B812" s="3"/>
      <c r="C812" s="4"/>
      <c r="D812" s="58"/>
      <c r="E812" s="5"/>
      <c r="F812" s="6"/>
      <c r="G812" s="7"/>
      <c r="H812" s="2"/>
      <c r="I812" s="61"/>
      <c r="J812" s="8"/>
      <c r="K812" s="9"/>
      <c r="L812" s="10"/>
      <c r="M812" s="11"/>
      <c r="N812" s="6"/>
      <c r="O812" s="12"/>
      <c r="P812" s="6"/>
      <c r="Q812" s="6"/>
    </row>
    <row r="813" spans="1:17" x14ac:dyDescent="0.25">
      <c r="A813" s="2"/>
      <c r="B813" s="3"/>
      <c r="C813" s="4"/>
      <c r="D813" s="58"/>
      <c r="E813" s="5"/>
      <c r="F813" s="6"/>
      <c r="G813" s="7"/>
      <c r="H813" s="2"/>
      <c r="I813" s="61"/>
      <c r="J813" s="8"/>
      <c r="K813" s="9"/>
      <c r="L813" s="10"/>
      <c r="M813" s="11"/>
      <c r="N813" s="6"/>
      <c r="O813" s="12"/>
      <c r="P813" s="6"/>
      <c r="Q813" s="6"/>
    </row>
    <row r="814" spans="1:17" x14ac:dyDescent="0.25">
      <c r="A814" s="2"/>
      <c r="B814" s="3"/>
      <c r="C814" s="4"/>
      <c r="D814" s="58"/>
      <c r="E814" s="5"/>
      <c r="F814" s="14"/>
      <c r="G814" s="7"/>
      <c r="H814" s="2"/>
      <c r="I814" s="61"/>
      <c r="J814" s="8"/>
      <c r="K814" s="9"/>
      <c r="L814" s="10"/>
      <c r="M814" s="11"/>
      <c r="N814" s="6"/>
      <c r="O814" s="12"/>
      <c r="P814" s="6"/>
      <c r="Q814" s="6"/>
    </row>
    <row r="815" spans="1:17" x14ac:dyDescent="0.25">
      <c r="A815" s="2"/>
      <c r="B815" s="3"/>
      <c r="C815" s="4"/>
      <c r="D815" s="58"/>
      <c r="E815" s="5"/>
      <c r="F815" s="6"/>
      <c r="G815" s="7"/>
      <c r="H815" s="2"/>
      <c r="I815" s="61"/>
      <c r="J815" s="8"/>
      <c r="K815" s="9"/>
      <c r="L815" s="10"/>
      <c r="M815" s="11"/>
      <c r="N815" s="6"/>
      <c r="O815" s="12"/>
      <c r="P815" s="6"/>
      <c r="Q815" s="6"/>
    </row>
    <row r="816" spans="1:17" x14ac:dyDescent="0.25">
      <c r="A816" s="2"/>
      <c r="B816" s="3"/>
      <c r="C816" s="4"/>
      <c r="D816" s="58"/>
      <c r="E816" s="5"/>
      <c r="F816" s="6"/>
      <c r="G816" s="7"/>
      <c r="H816" s="2"/>
      <c r="I816" s="61"/>
      <c r="J816" s="8"/>
      <c r="K816" s="9"/>
      <c r="L816" s="10"/>
      <c r="M816" s="11"/>
      <c r="N816" s="6"/>
      <c r="O816" s="12"/>
      <c r="P816" s="6"/>
      <c r="Q816" s="6"/>
    </row>
    <row r="817" spans="1:17" x14ac:dyDescent="0.25">
      <c r="A817" s="2"/>
      <c r="B817" s="3"/>
      <c r="C817" s="4"/>
      <c r="D817" s="58"/>
      <c r="E817" s="5"/>
      <c r="F817" s="6"/>
      <c r="G817" s="7"/>
      <c r="H817" s="2"/>
      <c r="I817" s="61"/>
      <c r="J817" s="8"/>
      <c r="K817" s="9"/>
      <c r="L817" s="10"/>
      <c r="M817" s="11"/>
      <c r="N817" s="6"/>
      <c r="O817" s="12"/>
      <c r="P817" s="6"/>
      <c r="Q817" s="6"/>
    </row>
    <row r="818" spans="1:17" x14ac:dyDescent="0.25">
      <c r="A818" s="2"/>
      <c r="B818" s="3"/>
      <c r="C818" s="4"/>
      <c r="D818" s="58"/>
      <c r="E818" s="5"/>
      <c r="F818" s="6"/>
      <c r="G818" s="7"/>
      <c r="H818" s="2"/>
      <c r="I818" s="61"/>
      <c r="J818" s="8"/>
      <c r="K818" s="9"/>
      <c r="L818" s="10"/>
      <c r="M818" s="11"/>
      <c r="N818" s="6"/>
      <c r="O818" s="12"/>
      <c r="P818" s="6"/>
      <c r="Q818" s="6"/>
    </row>
    <row r="819" spans="1:17" x14ac:dyDescent="0.25">
      <c r="A819" s="2"/>
      <c r="B819" s="3"/>
      <c r="C819" s="4"/>
      <c r="D819" s="58"/>
      <c r="E819" s="5"/>
      <c r="F819" s="6"/>
      <c r="G819" s="7"/>
      <c r="H819" s="2"/>
      <c r="I819" s="61"/>
      <c r="J819" s="8"/>
      <c r="K819" s="9"/>
      <c r="L819" s="10"/>
      <c r="M819" s="11"/>
      <c r="N819" s="6"/>
      <c r="O819" s="12"/>
      <c r="P819" s="6"/>
      <c r="Q819" s="6"/>
    </row>
    <row r="820" spans="1:17" x14ac:dyDescent="0.25">
      <c r="A820" s="2"/>
      <c r="B820" s="3"/>
      <c r="C820" s="4"/>
      <c r="D820" s="58"/>
      <c r="E820" s="5"/>
      <c r="F820" s="6"/>
      <c r="G820" s="7"/>
      <c r="H820" s="2"/>
      <c r="I820" s="61"/>
      <c r="J820" s="8"/>
      <c r="K820" s="9"/>
      <c r="L820" s="10"/>
      <c r="M820" s="11"/>
      <c r="N820" s="6"/>
      <c r="O820" s="12"/>
      <c r="P820" s="6"/>
      <c r="Q820" s="6"/>
    </row>
    <row r="821" spans="1:17" x14ac:dyDescent="0.25">
      <c r="A821" s="2"/>
      <c r="B821" s="3"/>
      <c r="C821" s="4"/>
      <c r="D821" s="58"/>
      <c r="E821" s="5"/>
      <c r="F821" s="6"/>
      <c r="G821" s="7"/>
      <c r="H821" s="2"/>
      <c r="I821" s="61"/>
      <c r="J821" s="8"/>
      <c r="K821" s="9"/>
      <c r="L821" s="10"/>
      <c r="M821" s="11"/>
      <c r="N821" s="6"/>
      <c r="O821" s="12"/>
      <c r="P821" s="6"/>
      <c r="Q821" s="6"/>
    </row>
    <row r="822" spans="1:17" x14ac:dyDescent="0.25">
      <c r="A822" s="2"/>
      <c r="B822" s="3"/>
      <c r="C822" s="4"/>
      <c r="D822" s="58"/>
      <c r="E822" s="5"/>
      <c r="F822" s="6"/>
      <c r="G822" s="7"/>
      <c r="H822" s="2"/>
      <c r="I822" s="61"/>
      <c r="J822" s="8"/>
      <c r="K822" s="9"/>
      <c r="L822" s="10"/>
      <c r="M822" s="11"/>
      <c r="N822" s="6"/>
      <c r="O822" s="12"/>
      <c r="P822" s="6"/>
      <c r="Q822" s="6"/>
    </row>
    <row r="823" spans="1:17" x14ac:dyDescent="0.25">
      <c r="A823" s="2"/>
      <c r="B823" s="3"/>
      <c r="C823" s="4"/>
      <c r="D823" s="58"/>
      <c r="E823" s="5"/>
      <c r="F823" s="6"/>
      <c r="G823" s="7"/>
      <c r="H823" s="2"/>
      <c r="I823" s="61"/>
      <c r="J823" s="8"/>
      <c r="K823" s="9"/>
      <c r="L823" s="10"/>
      <c r="M823" s="11"/>
      <c r="N823" s="6"/>
      <c r="O823" s="12"/>
      <c r="P823" s="6"/>
      <c r="Q823" s="6"/>
    </row>
    <row r="824" spans="1:17" x14ac:dyDescent="0.25">
      <c r="A824" s="2"/>
      <c r="B824" s="3"/>
      <c r="C824" s="4"/>
      <c r="D824" s="58"/>
      <c r="E824" s="5"/>
      <c r="F824" s="6"/>
      <c r="G824" s="7"/>
      <c r="H824" s="2"/>
      <c r="I824" s="61"/>
      <c r="J824" s="8"/>
      <c r="K824" s="9"/>
      <c r="L824" s="10"/>
      <c r="M824" s="11"/>
      <c r="N824" s="6"/>
      <c r="O824" s="12"/>
      <c r="P824" s="6"/>
      <c r="Q824" s="6"/>
    </row>
    <row r="825" spans="1:17" x14ac:dyDescent="0.25">
      <c r="A825" s="2"/>
      <c r="B825" s="3"/>
      <c r="C825" s="4"/>
      <c r="D825" s="58"/>
      <c r="E825" s="5"/>
      <c r="F825" s="6"/>
      <c r="G825" s="7"/>
      <c r="H825" s="2"/>
      <c r="I825" s="61"/>
      <c r="J825" s="8"/>
      <c r="K825" s="9"/>
      <c r="L825" s="10"/>
      <c r="M825" s="11"/>
      <c r="N825" s="6"/>
      <c r="O825" s="12"/>
      <c r="P825" s="6"/>
      <c r="Q825" s="6"/>
    </row>
    <row r="826" spans="1:17" x14ac:dyDescent="0.25">
      <c r="A826" s="2"/>
      <c r="B826" s="3"/>
      <c r="C826" s="4"/>
      <c r="D826" s="58"/>
      <c r="E826" s="5"/>
      <c r="F826" s="6"/>
      <c r="G826" s="7"/>
      <c r="H826" s="2"/>
      <c r="I826" s="61"/>
      <c r="J826" s="8"/>
      <c r="K826" s="9"/>
      <c r="L826" s="10"/>
      <c r="M826" s="11"/>
      <c r="N826" s="6"/>
      <c r="O826" s="12"/>
      <c r="P826" s="6"/>
      <c r="Q826" s="6"/>
    </row>
    <row r="827" spans="1:17" x14ac:dyDescent="0.25">
      <c r="A827" s="2"/>
      <c r="B827" s="3"/>
      <c r="C827" s="4"/>
      <c r="D827" s="58"/>
      <c r="E827" s="5"/>
      <c r="F827" s="6"/>
      <c r="G827" s="7"/>
      <c r="H827" s="2"/>
      <c r="I827" s="61"/>
      <c r="J827" s="8"/>
      <c r="K827" s="9"/>
      <c r="L827" s="10"/>
      <c r="M827" s="11"/>
      <c r="N827" s="6"/>
      <c r="O827" s="12"/>
      <c r="P827" s="6"/>
      <c r="Q827" s="6"/>
    </row>
    <row r="828" spans="1:17" x14ac:dyDescent="0.25">
      <c r="A828" s="2"/>
      <c r="B828" s="3"/>
      <c r="C828" s="4"/>
      <c r="D828" s="58"/>
      <c r="E828" s="5"/>
      <c r="F828" s="6"/>
      <c r="G828" s="7"/>
      <c r="H828" s="2"/>
      <c r="I828" s="61"/>
      <c r="J828" s="8"/>
      <c r="K828" s="9"/>
      <c r="L828" s="10"/>
      <c r="M828" s="11"/>
      <c r="N828" s="6"/>
      <c r="O828" s="12"/>
      <c r="P828" s="6"/>
      <c r="Q828" s="6"/>
    </row>
    <row r="829" spans="1:17" x14ac:dyDescent="0.25">
      <c r="A829" s="2"/>
      <c r="B829" s="3"/>
      <c r="C829" s="4"/>
      <c r="D829" s="58"/>
      <c r="E829" s="5"/>
      <c r="F829" s="6"/>
      <c r="G829" s="7"/>
      <c r="H829" s="2"/>
      <c r="I829" s="61"/>
      <c r="J829" s="8"/>
      <c r="K829" s="9"/>
      <c r="L829" s="10"/>
      <c r="M829" s="11"/>
      <c r="N829" s="6"/>
      <c r="O829" s="12"/>
      <c r="P829" s="6"/>
      <c r="Q829" s="6"/>
    </row>
    <row r="830" spans="1:17" x14ac:dyDescent="0.25">
      <c r="A830" s="2"/>
      <c r="B830" s="3"/>
      <c r="C830" s="4"/>
      <c r="D830" s="58"/>
      <c r="E830" s="5"/>
      <c r="F830" s="6"/>
      <c r="G830" s="7"/>
      <c r="H830" s="2"/>
      <c r="I830" s="61"/>
      <c r="J830" s="8"/>
      <c r="K830" s="9"/>
      <c r="L830" s="10"/>
      <c r="M830" s="11"/>
      <c r="N830" s="6"/>
      <c r="O830" s="12"/>
      <c r="P830" s="6"/>
      <c r="Q830" s="6"/>
    </row>
    <row r="831" spans="1:17" x14ac:dyDescent="0.25">
      <c r="A831" s="2"/>
      <c r="B831" s="3"/>
      <c r="C831" s="4"/>
      <c r="D831" s="58"/>
      <c r="E831" s="5"/>
      <c r="F831" s="6"/>
      <c r="G831" s="7"/>
      <c r="H831" s="2"/>
      <c r="I831" s="61"/>
      <c r="J831" s="8"/>
      <c r="K831" s="9"/>
      <c r="L831" s="10"/>
      <c r="M831" s="11"/>
      <c r="N831" s="6"/>
      <c r="O831" s="12"/>
      <c r="P831" s="6"/>
      <c r="Q831" s="6"/>
    </row>
    <row r="832" spans="1:17" x14ac:dyDescent="0.25">
      <c r="A832" s="2"/>
      <c r="B832" s="3"/>
      <c r="C832" s="4"/>
      <c r="D832" s="58"/>
      <c r="E832" s="5"/>
      <c r="F832" s="6"/>
      <c r="G832" s="7"/>
      <c r="H832" s="2"/>
      <c r="I832" s="61"/>
      <c r="J832" s="8"/>
      <c r="K832" s="9"/>
      <c r="L832" s="10"/>
      <c r="M832" s="11"/>
      <c r="N832" s="6"/>
      <c r="O832" s="12"/>
      <c r="P832" s="6"/>
      <c r="Q832" s="6"/>
    </row>
    <row r="833" spans="1:17" x14ac:dyDescent="0.25">
      <c r="A833" s="2"/>
      <c r="B833" s="3"/>
      <c r="C833" s="4"/>
      <c r="D833" s="58"/>
      <c r="E833" s="5"/>
      <c r="F833" s="6"/>
      <c r="G833" s="7"/>
      <c r="H833" s="2"/>
      <c r="I833" s="61"/>
      <c r="J833" s="8"/>
      <c r="K833" s="9"/>
      <c r="L833" s="10"/>
      <c r="M833" s="11"/>
      <c r="N833" s="6"/>
      <c r="O833" s="12"/>
      <c r="P833" s="6"/>
      <c r="Q833" s="6"/>
    </row>
    <row r="834" spans="1:17" x14ac:dyDescent="0.25">
      <c r="A834" s="2"/>
      <c r="B834" s="3"/>
      <c r="C834" s="4"/>
      <c r="D834" s="58"/>
      <c r="E834" s="5"/>
      <c r="F834" s="6"/>
      <c r="G834" s="7"/>
      <c r="H834" s="2"/>
      <c r="I834" s="61"/>
      <c r="J834" s="8"/>
      <c r="K834" s="9"/>
      <c r="L834" s="10"/>
      <c r="M834" s="11"/>
      <c r="N834" s="6"/>
      <c r="O834" s="12"/>
      <c r="P834" s="6"/>
      <c r="Q834" s="6"/>
    </row>
    <row r="835" spans="1:17" x14ac:dyDescent="0.25">
      <c r="A835" s="2"/>
      <c r="B835" s="3"/>
      <c r="C835" s="4"/>
      <c r="D835" s="58"/>
      <c r="E835" s="5"/>
      <c r="F835" s="6"/>
      <c r="G835" s="7"/>
      <c r="H835" s="2"/>
      <c r="I835" s="61"/>
      <c r="J835" s="8"/>
      <c r="K835" s="9"/>
      <c r="L835" s="10"/>
      <c r="M835" s="11"/>
      <c r="N835" s="6"/>
      <c r="O835" s="12"/>
      <c r="P835" s="6"/>
      <c r="Q835" s="6"/>
    </row>
    <row r="836" spans="1:17" x14ac:dyDescent="0.25">
      <c r="A836" s="2"/>
      <c r="B836" s="3"/>
      <c r="C836" s="4"/>
      <c r="D836" s="58"/>
      <c r="E836" s="5"/>
      <c r="F836" s="6"/>
      <c r="G836" s="7"/>
      <c r="H836" s="2"/>
      <c r="I836" s="61"/>
      <c r="J836" s="8"/>
      <c r="K836" s="9"/>
      <c r="L836" s="10"/>
      <c r="M836" s="11"/>
      <c r="N836" s="6"/>
      <c r="O836" s="12"/>
      <c r="P836" s="6"/>
      <c r="Q836" s="6"/>
    </row>
    <row r="837" spans="1:17" x14ac:dyDescent="0.25">
      <c r="A837" s="2"/>
      <c r="B837" s="3"/>
      <c r="C837" s="4"/>
      <c r="D837" s="58"/>
      <c r="E837" s="5"/>
      <c r="F837" s="6"/>
      <c r="G837" s="7"/>
      <c r="H837" s="2"/>
      <c r="I837" s="61"/>
      <c r="J837" s="8"/>
      <c r="K837" s="9"/>
      <c r="L837" s="10"/>
      <c r="M837" s="11"/>
      <c r="N837" s="6"/>
      <c r="O837" s="12"/>
      <c r="P837" s="6"/>
      <c r="Q837" s="6"/>
    </row>
    <row r="838" spans="1:17" x14ac:dyDescent="0.25">
      <c r="A838" s="2"/>
      <c r="B838" s="3"/>
      <c r="C838" s="4"/>
      <c r="D838" s="58"/>
      <c r="E838" s="5"/>
      <c r="F838" s="6"/>
      <c r="G838" s="7"/>
      <c r="H838" s="2"/>
      <c r="I838" s="61"/>
      <c r="J838" s="8"/>
      <c r="K838" s="9"/>
      <c r="L838" s="10"/>
      <c r="M838" s="11"/>
      <c r="N838" s="6"/>
      <c r="O838" s="12"/>
      <c r="P838" s="6"/>
      <c r="Q838" s="6"/>
    </row>
    <row r="839" spans="1:17" x14ac:dyDescent="0.25">
      <c r="A839" s="2"/>
      <c r="B839" s="3"/>
      <c r="C839" s="4"/>
      <c r="D839" s="58"/>
      <c r="E839" s="5"/>
      <c r="F839" s="6"/>
      <c r="G839" s="7"/>
      <c r="H839" s="2"/>
      <c r="I839" s="61"/>
      <c r="J839" s="8"/>
      <c r="K839" s="9"/>
      <c r="L839" s="10"/>
      <c r="M839" s="11"/>
      <c r="N839" s="6"/>
      <c r="O839" s="12"/>
      <c r="P839" s="6"/>
      <c r="Q839" s="6"/>
    </row>
    <row r="840" spans="1:17" x14ac:dyDescent="0.25">
      <c r="A840" s="2"/>
      <c r="B840" s="3"/>
      <c r="C840" s="4"/>
      <c r="D840" s="58"/>
      <c r="E840" s="5"/>
      <c r="F840" s="6"/>
      <c r="G840" s="7"/>
      <c r="H840" s="2"/>
      <c r="I840" s="61"/>
      <c r="J840" s="8"/>
      <c r="K840" s="9"/>
      <c r="L840" s="10"/>
      <c r="M840" s="11"/>
      <c r="N840" s="6"/>
      <c r="O840" s="12"/>
      <c r="P840" s="6"/>
      <c r="Q840" s="6"/>
    </row>
    <row r="841" spans="1:17" x14ac:dyDescent="0.25">
      <c r="A841" s="2"/>
      <c r="B841" s="3"/>
      <c r="C841" s="4"/>
      <c r="D841" s="58"/>
      <c r="E841" s="5"/>
      <c r="F841" s="6"/>
      <c r="G841" s="7"/>
      <c r="H841" s="2"/>
      <c r="I841" s="61"/>
      <c r="J841" s="8"/>
      <c r="K841" s="9"/>
      <c r="L841" s="10"/>
      <c r="M841" s="11"/>
      <c r="N841" s="6"/>
      <c r="O841" s="12"/>
      <c r="P841" s="6"/>
      <c r="Q841" s="6"/>
    </row>
    <row r="842" spans="1:17" x14ac:dyDescent="0.25">
      <c r="A842" s="2"/>
      <c r="B842" s="3"/>
      <c r="C842" s="4"/>
      <c r="D842" s="58"/>
      <c r="E842" s="5"/>
      <c r="F842" s="6"/>
      <c r="G842" s="7"/>
      <c r="H842" s="2"/>
      <c r="I842" s="61"/>
      <c r="J842" s="8"/>
      <c r="K842" s="9"/>
      <c r="L842" s="10"/>
      <c r="M842" s="11"/>
      <c r="N842" s="6"/>
      <c r="O842" s="12"/>
      <c r="P842" s="6"/>
      <c r="Q842" s="6"/>
    </row>
    <row r="843" spans="1:17" x14ac:dyDescent="0.25">
      <c r="A843" s="2"/>
      <c r="B843" s="3"/>
      <c r="C843" s="4"/>
      <c r="D843" s="58"/>
      <c r="E843" s="5"/>
      <c r="F843" s="6"/>
      <c r="G843" s="7"/>
      <c r="H843" s="2"/>
      <c r="I843" s="61"/>
      <c r="J843" s="8"/>
      <c r="K843" s="9"/>
      <c r="L843" s="10"/>
      <c r="M843" s="11"/>
      <c r="N843" s="6"/>
      <c r="O843" s="12"/>
      <c r="P843" s="6"/>
      <c r="Q843" s="6"/>
    </row>
    <row r="844" spans="1:17" x14ac:dyDescent="0.25">
      <c r="A844" s="2"/>
      <c r="B844" s="3"/>
      <c r="C844" s="4"/>
      <c r="D844" s="58"/>
      <c r="E844" s="5"/>
      <c r="F844" s="6"/>
      <c r="G844" s="7"/>
      <c r="H844" s="2"/>
      <c r="I844" s="61"/>
      <c r="J844" s="8"/>
      <c r="K844" s="9"/>
      <c r="L844" s="10"/>
      <c r="M844" s="11"/>
      <c r="N844" s="6"/>
      <c r="O844" s="12"/>
      <c r="P844" s="6"/>
      <c r="Q844" s="6"/>
    </row>
    <row r="845" spans="1:17" x14ac:dyDescent="0.25">
      <c r="A845" s="2"/>
      <c r="B845" s="3"/>
      <c r="C845" s="4"/>
      <c r="D845" s="58"/>
      <c r="E845" s="5"/>
      <c r="F845" s="6"/>
      <c r="G845" s="7"/>
      <c r="H845" s="2"/>
      <c r="I845" s="61"/>
      <c r="J845" s="8"/>
      <c r="K845" s="9"/>
      <c r="L845" s="10"/>
      <c r="M845" s="11"/>
      <c r="N845" s="6"/>
      <c r="O845" s="12"/>
      <c r="P845" s="6"/>
      <c r="Q845" s="6"/>
    </row>
    <row r="846" spans="1:17" x14ac:dyDescent="0.25">
      <c r="A846" s="2"/>
      <c r="B846" s="3"/>
      <c r="C846" s="4"/>
      <c r="D846" s="58"/>
      <c r="E846" s="5"/>
      <c r="F846" s="6"/>
      <c r="G846" s="7"/>
      <c r="H846" s="2"/>
      <c r="I846" s="61"/>
      <c r="J846" s="8"/>
      <c r="K846" s="9"/>
      <c r="L846" s="10"/>
      <c r="M846" s="11"/>
      <c r="N846" s="6"/>
      <c r="O846" s="12"/>
      <c r="P846" s="6"/>
      <c r="Q846" s="6"/>
    </row>
    <row r="847" spans="1:17" x14ac:dyDescent="0.25">
      <c r="A847" s="2"/>
      <c r="B847" s="3"/>
      <c r="C847" s="4"/>
      <c r="D847" s="58"/>
      <c r="E847" s="5"/>
      <c r="F847" s="6"/>
      <c r="G847" s="7"/>
      <c r="H847" s="2"/>
      <c r="I847" s="61"/>
      <c r="J847" s="8"/>
      <c r="K847" s="9"/>
      <c r="L847" s="10"/>
      <c r="M847" s="11"/>
      <c r="N847" s="6"/>
      <c r="O847" s="12"/>
      <c r="P847" s="6"/>
      <c r="Q847" s="6"/>
    </row>
    <row r="848" spans="1:17" x14ac:dyDescent="0.25">
      <c r="A848" s="2"/>
      <c r="B848" s="3"/>
      <c r="C848" s="4"/>
      <c r="D848" s="58"/>
      <c r="E848" s="5"/>
      <c r="F848" s="6"/>
      <c r="G848" s="7"/>
      <c r="H848" s="2"/>
      <c r="I848" s="61"/>
      <c r="J848" s="8"/>
      <c r="K848" s="9"/>
      <c r="L848" s="10"/>
      <c r="M848" s="11"/>
      <c r="N848" s="6"/>
      <c r="O848" s="12"/>
      <c r="P848" s="6"/>
      <c r="Q848" s="6"/>
    </row>
    <row r="849" spans="1:17" x14ac:dyDescent="0.25">
      <c r="A849" s="2"/>
      <c r="B849" s="3"/>
      <c r="C849" s="4"/>
      <c r="D849" s="58"/>
      <c r="E849" s="5"/>
      <c r="F849" s="6"/>
      <c r="G849" s="7"/>
      <c r="H849" s="2"/>
      <c r="I849" s="61"/>
      <c r="J849" s="8"/>
      <c r="K849" s="9"/>
      <c r="L849" s="10"/>
      <c r="M849" s="11"/>
      <c r="N849" s="6"/>
      <c r="O849" s="12"/>
      <c r="P849" s="6"/>
      <c r="Q849" s="6"/>
    </row>
    <row r="850" spans="1:17" x14ac:dyDescent="0.25">
      <c r="A850" s="2"/>
      <c r="B850" s="3"/>
      <c r="C850" s="4"/>
      <c r="D850" s="58"/>
      <c r="E850" s="5"/>
      <c r="F850" s="6"/>
      <c r="G850" s="7"/>
      <c r="H850" s="2"/>
      <c r="I850" s="61"/>
      <c r="J850" s="8"/>
      <c r="K850" s="9"/>
      <c r="L850" s="10"/>
      <c r="M850" s="11"/>
      <c r="N850" s="6"/>
      <c r="O850" s="12"/>
      <c r="P850" s="6"/>
      <c r="Q850" s="6"/>
    </row>
    <row r="851" spans="1:17" x14ac:dyDescent="0.25">
      <c r="A851" s="2"/>
      <c r="B851" s="3"/>
      <c r="C851" s="4"/>
      <c r="D851" s="58"/>
      <c r="E851" s="5"/>
      <c r="F851" s="6"/>
      <c r="G851" s="7"/>
      <c r="H851" s="2"/>
      <c r="I851" s="61"/>
      <c r="J851" s="8"/>
      <c r="K851" s="9"/>
      <c r="L851" s="10"/>
      <c r="M851" s="11"/>
      <c r="N851" s="6"/>
      <c r="O851" s="12"/>
      <c r="P851" s="6"/>
      <c r="Q851" s="6"/>
    </row>
    <row r="852" spans="1:17" x14ac:dyDescent="0.25">
      <c r="A852" s="2"/>
      <c r="B852" s="3"/>
      <c r="C852" s="4"/>
      <c r="D852" s="58"/>
      <c r="E852" s="5"/>
      <c r="F852" s="6"/>
      <c r="G852" s="7"/>
      <c r="H852" s="2"/>
      <c r="I852" s="61"/>
      <c r="J852" s="8"/>
      <c r="K852" s="9"/>
      <c r="L852" s="10"/>
      <c r="M852" s="11"/>
      <c r="N852" s="6"/>
      <c r="O852" s="12"/>
      <c r="P852" s="6"/>
      <c r="Q852" s="6"/>
    </row>
    <row r="853" spans="1:17" x14ac:dyDescent="0.25">
      <c r="A853" s="2"/>
      <c r="B853" s="3"/>
      <c r="C853" s="4"/>
      <c r="D853" s="58"/>
      <c r="E853" s="5"/>
      <c r="F853" s="6"/>
      <c r="G853" s="7"/>
      <c r="H853" s="2"/>
      <c r="I853" s="61"/>
      <c r="J853" s="8"/>
      <c r="K853" s="9"/>
      <c r="L853" s="10"/>
      <c r="M853" s="11"/>
      <c r="N853" s="6"/>
      <c r="O853" s="12"/>
      <c r="P853" s="6"/>
      <c r="Q853" s="6"/>
    </row>
    <row r="854" spans="1:17" x14ac:dyDescent="0.25">
      <c r="A854" s="2"/>
      <c r="B854" s="3"/>
      <c r="C854" s="4"/>
      <c r="D854" s="58"/>
      <c r="E854" s="5"/>
      <c r="F854" s="6"/>
      <c r="G854" s="7"/>
      <c r="H854" s="2"/>
      <c r="I854" s="61"/>
      <c r="J854" s="8"/>
      <c r="K854" s="9"/>
      <c r="L854" s="10"/>
      <c r="M854" s="11"/>
      <c r="N854" s="6"/>
      <c r="O854" s="12"/>
      <c r="P854" s="6"/>
      <c r="Q854" s="6"/>
    </row>
    <row r="855" spans="1:17" x14ac:dyDescent="0.25">
      <c r="A855" s="2"/>
      <c r="B855" s="3"/>
      <c r="C855" s="4"/>
      <c r="D855" s="58"/>
      <c r="E855" s="5"/>
      <c r="F855" s="6"/>
      <c r="G855" s="7"/>
      <c r="H855" s="2"/>
      <c r="I855" s="61"/>
      <c r="J855" s="8"/>
      <c r="K855" s="9"/>
      <c r="L855" s="10"/>
      <c r="M855" s="11"/>
      <c r="N855" s="6"/>
      <c r="O855" s="12"/>
      <c r="P855" s="6"/>
      <c r="Q855" s="6"/>
    </row>
    <row r="856" spans="1:17" x14ac:dyDescent="0.25">
      <c r="A856" s="2"/>
      <c r="B856" s="3"/>
      <c r="C856" s="4"/>
      <c r="D856" s="58"/>
      <c r="E856" s="5"/>
      <c r="F856" s="6"/>
      <c r="G856" s="7"/>
      <c r="H856" s="2"/>
      <c r="I856" s="61"/>
      <c r="J856" s="8"/>
      <c r="K856" s="9"/>
      <c r="L856" s="10"/>
      <c r="M856" s="11"/>
      <c r="N856" s="6"/>
      <c r="O856" s="12"/>
      <c r="P856" s="6"/>
      <c r="Q856" s="6"/>
    </row>
    <row r="857" spans="1:17" x14ac:dyDescent="0.25">
      <c r="A857" s="2"/>
      <c r="B857" s="3"/>
      <c r="C857" s="4"/>
      <c r="D857" s="58"/>
      <c r="E857" s="5"/>
      <c r="F857" s="6"/>
      <c r="G857" s="7"/>
      <c r="H857" s="2"/>
      <c r="I857" s="61"/>
      <c r="J857" s="8"/>
      <c r="K857" s="9"/>
      <c r="L857" s="10"/>
      <c r="M857" s="11"/>
      <c r="N857" s="6"/>
      <c r="O857" s="12"/>
      <c r="P857" s="6"/>
      <c r="Q857" s="6"/>
    </row>
    <row r="858" spans="1:17" x14ac:dyDescent="0.25">
      <c r="A858" s="2"/>
      <c r="B858" s="3"/>
      <c r="C858" s="4"/>
      <c r="D858" s="58"/>
      <c r="E858" s="5"/>
      <c r="F858" s="6"/>
      <c r="G858" s="7"/>
      <c r="H858" s="2"/>
      <c r="I858" s="61"/>
      <c r="J858" s="8"/>
      <c r="K858" s="9"/>
      <c r="L858" s="10"/>
      <c r="M858" s="11"/>
      <c r="N858" s="6"/>
      <c r="O858" s="12"/>
      <c r="P858" s="6"/>
      <c r="Q858" s="6"/>
    </row>
    <row r="859" spans="1:17" x14ac:dyDescent="0.25">
      <c r="A859" s="2"/>
      <c r="B859" s="3"/>
      <c r="C859" s="4"/>
      <c r="D859" s="58"/>
      <c r="E859" s="5"/>
      <c r="F859" s="6"/>
      <c r="G859" s="7"/>
      <c r="H859" s="2"/>
      <c r="I859" s="61"/>
      <c r="J859" s="8"/>
      <c r="K859" s="9"/>
      <c r="L859" s="10"/>
      <c r="M859" s="11"/>
      <c r="N859" s="6"/>
      <c r="O859" s="12"/>
      <c r="P859" s="6"/>
      <c r="Q859" s="6"/>
    </row>
    <row r="860" spans="1:17" x14ac:dyDescent="0.25">
      <c r="A860" s="2"/>
      <c r="B860" s="3"/>
      <c r="C860" s="4"/>
      <c r="D860" s="58"/>
      <c r="E860" s="5"/>
      <c r="F860" s="6"/>
      <c r="G860" s="7"/>
      <c r="H860" s="2"/>
      <c r="I860" s="61"/>
      <c r="J860" s="8"/>
      <c r="K860" s="9"/>
      <c r="L860" s="10"/>
      <c r="M860" s="11"/>
      <c r="N860" s="6"/>
      <c r="O860" s="12"/>
      <c r="P860" s="6"/>
      <c r="Q860" s="6"/>
    </row>
    <row r="861" spans="1:17" x14ac:dyDescent="0.25">
      <c r="A861" s="2"/>
      <c r="B861" s="3"/>
      <c r="C861" s="4"/>
      <c r="D861" s="58"/>
      <c r="E861" s="5"/>
      <c r="F861" s="6"/>
      <c r="G861" s="7"/>
      <c r="H861" s="2"/>
      <c r="I861" s="61"/>
      <c r="J861" s="8"/>
      <c r="K861" s="9"/>
      <c r="L861" s="10"/>
      <c r="M861" s="11"/>
      <c r="N861" s="6"/>
      <c r="O861" s="12"/>
      <c r="P861" s="6"/>
      <c r="Q861" s="6"/>
    </row>
    <row r="862" spans="1:17" x14ac:dyDescent="0.25">
      <c r="A862" s="2"/>
      <c r="B862" s="3"/>
      <c r="C862" s="4"/>
      <c r="D862" s="58"/>
      <c r="E862" s="5"/>
      <c r="F862" s="6"/>
      <c r="G862" s="7"/>
      <c r="H862" s="2"/>
      <c r="I862" s="61"/>
      <c r="J862" s="8"/>
      <c r="K862" s="9"/>
      <c r="L862" s="10"/>
      <c r="M862" s="11"/>
      <c r="N862" s="6"/>
      <c r="O862" s="12"/>
      <c r="P862" s="6"/>
      <c r="Q862" s="6"/>
    </row>
    <row r="863" spans="1:17" x14ac:dyDescent="0.25">
      <c r="A863" s="2"/>
      <c r="B863" s="3"/>
      <c r="C863" s="4"/>
      <c r="D863" s="58"/>
      <c r="E863" s="5"/>
      <c r="F863" s="14"/>
      <c r="G863" s="32"/>
      <c r="H863" s="13"/>
      <c r="I863" s="61"/>
      <c r="J863" s="8"/>
      <c r="K863" s="9"/>
      <c r="L863" s="10"/>
      <c r="M863" s="15"/>
      <c r="N863" s="6"/>
      <c r="O863" s="12"/>
      <c r="P863" s="14"/>
      <c r="Q863" s="14"/>
    </row>
    <row r="864" spans="1:17" x14ac:dyDescent="0.25">
      <c r="A864" s="2"/>
      <c r="B864" s="3"/>
      <c r="C864" s="4"/>
      <c r="D864" s="58"/>
      <c r="E864" s="5"/>
      <c r="F864" s="6"/>
      <c r="G864" s="7"/>
      <c r="H864" s="2"/>
      <c r="I864" s="61"/>
      <c r="J864" s="8"/>
      <c r="K864" s="9"/>
      <c r="L864" s="10"/>
      <c r="M864" s="11"/>
      <c r="N864" s="6"/>
      <c r="O864" s="12"/>
      <c r="P864" s="6"/>
      <c r="Q864" s="6"/>
    </row>
    <row r="865" spans="1:17" x14ac:dyDescent="0.25">
      <c r="A865" s="2"/>
      <c r="B865" s="3"/>
      <c r="C865" s="4"/>
      <c r="D865" s="58"/>
      <c r="E865" s="5"/>
      <c r="F865" s="6"/>
      <c r="G865" s="7"/>
      <c r="H865" s="2"/>
      <c r="I865" s="61"/>
      <c r="J865" s="8"/>
      <c r="K865" s="9"/>
      <c r="L865" s="10"/>
      <c r="M865" s="11"/>
      <c r="N865" s="6"/>
      <c r="O865" s="12"/>
      <c r="P865" s="6"/>
      <c r="Q865" s="6"/>
    </row>
    <row r="866" spans="1:17" x14ac:dyDescent="0.25">
      <c r="A866" s="2"/>
      <c r="B866" s="3"/>
      <c r="C866" s="4"/>
      <c r="D866" s="58"/>
      <c r="E866" s="5"/>
      <c r="F866" s="6"/>
      <c r="G866" s="7"/>
      <c r="H866" s="2"/>
      <c r="I866" s="61"/>
      <c r="J866" s="8"/>
      <c r="K866" s="9"/>
      <c r="L866" s="10"/>
      <c r="M866" s="11"/>
      <c r="N866" s="6"/>
      <c r="O866" s="12"/>
      <c r="P866" s="6"/>
      <c r="Q866" s="6"/>
    </row>
    <row r="867" spans="1:17" x14ac:dyDescent="0.25">
      <c r="A867" s="2"/>
      <c r="B867" s="3"/>
      <c r="C867" s="4"/>
      <c r="D867" s="58"/>
      <c r="E867" s="5"/>
      <c r="F867" s="6"/>
      <c r="G867" s="7"/>
      <c r="H867" s="2"/>
      <c r="I867" s="61"/>
      <c r="J867" s="8"/>
      <c r="K867" s="9"/>
      <c r="L867" s="10"/>
      <c r="M867" s="11"/>
      <c r="N867" s="6"/>
      <c r="O867" s="12"/>
      <c r="P867" s="6"/>
      <c r="Q867" s="6"/>
    </row>
    <row r="868" spans="1:17" x14ac:dyDescent="0.25">
      <c r="A868" s="2"/>
      <c r="B868" s="3"/>
      <c r="C868" s="4"/>
      <c r="D868" s="58"/>
      <c r="E868" s="5"/>
      <c r="F868" s="6"/>
      <c r="G868" s="7"/>
      <c r="H868" s="2"/>
      <c r="I868" s="61"/>
      <c r="J868" s="8"/>
      <c r="K868" s="9"/>
      <c r="L868" s="10"/>
      <c r="M868" s="11"/>
      <c r="N868" s="6"/>
      <c r="O868" s="12"/>
      <c r="P868" s="6"/>
      <c r="Q868" s="6"/>
    </row>
    <row r="869" spans="1:17" x14ac:dyDescent="0.25">
      <c r="A869" s="2"/>
      <c r="B869" s="3"/>
      <c r="C869" s="4"/>
      <c r="D869" s="58"/>
      <c r="E869" s="5"/>
      <c r="F869" s="6"/>
      <c r="G869" s="7"/>
      <c r="H869" s="2"/>
      <c r="I869" s="61"/>
      <c r="J869" s="8"/>
      <c r="K869" s="9"/>
      <c r="L869" s="10"/>
      <c r="M869" s="11"/>
      <c r="N869" s="6"/>
      <c r="O869" s="12"/>
      <c r="P869" s="6"/>
      <c r="Q869" s="6"/>
    </row>
    <row r="870" spans="1:17" x14ac:dyDescent="0.25">
      <c r="A870" s="2"/>
      <c r="B870" s="3"/>
      <c r="C870" s="4"/>
      <c r="D870" s="58"/>
      <c r="E870" s="5"/>
      <c r="F870" s="6"/>
      <c r="G870" s="7"/>
      <c r="H870" s="2"/>
      <c r="I870" s="61"/>
      <c r="J870" s="8"/>
      <c r="K870" s="9"/>
      <c r="L870" s="10"/>
      <c r="M870" s="11"/>
      <c r="N870" s="6"/>
      <c r="O870" s="12"/>
      <c r="P870" s="6"/>
      <c r="Q870" s="6"/>
    </row>
    <row r="871" spans="1:17" x14ac:dyDescent="0.25">
      <c r="A871" s="2"/>
      <c r="B871" s="3"/>
      <c r="C871" s="4"/>
      <c r="D871" s="58"/>
      <c r="E871" s="5"/>
      <c r="F871" s="6"/>
      <c r="G871" s="7"/>
      <c r="H871" s="2"/>
      <c r="I871" s="61"/>
      <c r="J871" s="8"/>
      <c r="K871" s="9"/>
      <c r="L871" s="10"/>
      <c r="M871" s="11"/>
      <c r="N871" s="6"/>
      <c r="O871" s="12"/>
      <c r="P871" s="6"/>
      <c r="Q871" s="6"/>
    </row>
    <row r="872" spans="1:17" x14ac:dyDescent="0.25">
      <c r="A872" s="2"/>
      <c r="B872" s="3"/>
      <c r="C872" s="4"/>
      <c r="D872" s="58"/>
      <c r="E872" s="5"/>
      <c r="F872" s="6"/>
      <c r="G872" s="7"/>
      <c r="H872" s="2"/>
      <c r="I872" s="61"/>
      <c r="J872" s="8"/>
      <c r="K872" s="9"/>
      <c r="L872" s="10"/>
      <c r="M872" s="11"/>
      <c r="N872" s="6"/>
      <c r="O872" s="12"/>
      <c r="P872" s="6"/>
      <c r="Q872" s="6"/>
    </row>
    <row r="873" spans="1:17" x14ac:dyDescent="0.25">
      <c r="A873" s="2"/>
      <c r="B873" s="3"/>
      <c r="C873" s="4"/>
      <c r="D873" s="58"/>
      <c r="E873" s="5"/>
      <c r="F873" s="6"/>
      <c r="G873" s="7"/>
      <c r="H873" s="2"/>
      <c r="I873" s="61"/>
      <c r="J873" s="8"/>
      <c r="K873" s="9"/>
      <c r="L873" s="10"/>
      <c r="M873" s="11"/>
      <c r="N873" s="6"/>
      <c r="O873" s="12"/>
      <c r="P873" s="6"/>
      <c r="Q873" s="6"/>
    </row>
    <row r="874" spans="1:17" x14ac:dyDescent="0.25">
      <c r="A874" s="2"/>
      <c r="B874" s="3"/>
      <c r="C874" s="4"/>
      <c r="D874" s="58"/>
      <c r="E874" s="5"/>
      <c r="F874" s="6"/>
      <c r="G874" s="7"/>
      <c r="H874" s="2"/>
      <c r="I874" s="61"/>
      <c r="J874" s="8"/>
      <c r="K874" s="9"/>
      <c r="L874" s="10"/>
      <c r="M874" s="11"/>
      <c r="N874" s="6"/>
      <c r="O874" s="12"/>
      <c r="P874" s="6"/>
      <c r="Q874" s="6"/>
    </row>
    <row r="875" spans="1:17" x14ac:dyDescent="0.25">
      <c r="A875" s="2"/>
      <c r="B875" s="3"/>
      <c r="C875" s="4"/>
      <c r="D875" s="58"/>
      <c r="E875" s="5"/>
      <c r="F875" s="14"/>
      <c r="G875" s="7"/>
      <c r="H875" s="2"/>
      <c r="I875" s="61"/>
      <c r="J875" s="8"/>
      <c r="K875" s="9"/>
      <c r="L875" s="10"/>
      <c r="M875" s="11"/>
      <c r="N875" s="6"/>
      <c r="O875" s="12"/>
      <c r="P875" s="6"/>
      <c r="Q875" s="6"/>
    </row>
    <row r="876" spans="1:17" x14ac:dyDescent="0.25">
      <c r="A876" s="2"/>
      <c r="B876" s="3"/>
      <c r="C876" s="4"/>
      <c r="D876" s="58"/>
      <c r="E876" s="5"/>
      <c r="F876" s="6"/>
      <c r="G876" s="7"/>
      <c r="H876" s="2"/>
      <c r="I876" s="61"/>
      <c r="J876" s="8"/>
      <c r="K876" s="9"/>
      <c r="L876" s="10"/>
      <c r="M876" s="11"/>
      <c r="N876" s="6"/>
      <c r="O876" s="12"/>
      <c r="P876" s="6"/>
      <c r="Q876" s="6"/>
    </row>
    <row r="877" spans="1:17" x14ac:dyDescent="0.25">
      <c r="A877" s="2"/>
      <c r="B877" s="3"/>
      <c r="C877" s="4"/>
      <c r="D877" s="58"/>
      <c r="E877" s="5"/>
      <c r="F877" s="6"/>
      <c r="G877" s="7"/>
      <c r="H877" s="2"/>
      <c r="I877" s="61"/>
      <c r="J877" s="8"/>
      <c r="K877" s="9"/>
      <c r="L877" s="10"/>
      <c r="M877" s="11"/>
      <c r="N877" s="6"/>
      <c r="O877" s="12"/>
      <c r="P877" s="6"/>
      <c r="Q877" s="6"/>
    </row>
    <row r="878" spans="1:17" x14ac:dyDescent="0.25">
      <c r="A878" s="2"/>
      <c r="B878" s="3"/>
      <c r="C878" s="4"/>
      <c r="D878" s="58"/>
      <c r="E878" s="5"/>
      <c r="F878" s="6"/>
      <c r="G878" s="7"/>
      <c r="H878" s="2"/>
      <c r="I878" s="61"/>
      <c r="J878" s="8"/>
      <c r="K878" s="9"/>
      <c r="L878" s="10"/>
      <c r="M878" s="11"/>
      <c r="N878" s="6"/>
      <c r="O878" s="12"/>
      <c r="P878" s="6"/>
      <c r="Q878" s="6"/>
    </row>
    <row r="879" spans="1:17" x14ac:dyDescent="0.25">
      <c r="A879" s="2"/>
      <c r="B879" s="3"/>
      <c r="C879" s="4"/>
      <c r="D879" s="58"/>
      <c r="E879" s="5"/>
      <c r="F879" s="6"/>
      <c r="G879" s="7"/>
      <c r="H879" s="2"/>
      <c r="I879" s="61"/>
      <c r="J879" s="8"/>
      <c r="K879" s="9"/>
      <c r="L879" s="10"/>
      <c r="M879" s="11"/>
      <c r="N879" s="6"/>
      <c r="O879" s="12"/>
      <c r="P879" s="6"/>
      <c r="Q879" s="6"/>
    </row>
    <row r="880" spans="1:17" x14ac:dyDescent="0.25">
      <c r="A880" s="2"/>
      <c r="B880" s="3"/>
      <c r="C880" s="4"/>
      <c r="D880" s="58"/>
      <c r="E880" s="5"/>
      <c r="F880" s="6"/>
      <c r="G880" s="7"/>
      <c r="H880" s="2"/>
      <c r="I880" s="61"/>
      <c r="J880" s="8"/>
      <c r="K880" s="9"/>
      <c r="L880" s="10"/>
      <c r="M880" s="11"/>
      <c r="N880" s="6"/>
      <c r="O880" s="12"/>
      <c r="P880" s="6"/>
      <c r="Q880" s="6"/>
    </row>
    <row r="881" spans="1:17" x14ac:dyDescent="0.25">
      <c r="A881" s="2"/>
      <c r="B881" s="3"/>
      <c r="C881" s="4"/>
      <c r="D881" s="58"/>
      <c r="E881" s="5"/>
      <c r="F881" s="6"/>
      <c r="G881" s="7"/>
      <c r="H881" s="2"/>
      <c r="I881" s="61"/>
      <c r="J881" s="8"/>
      <c r="K881" s="9"/>
      <c r="L881" s="10"/>
      <c r="M881" s="11"/>
      <c r="N881" s="6"/>
      <c r="O881" s="12"/>
      <c r="P881" s="6"/>
      <c r="Q881" s="6"/>
    </row>
    <row r="882" spans="1:17" x14ac:dyDescent="0.25">
      <c r="A882" s="2"/>
      <c r="B882" s="3"/>
      <c r="C882" s="4"/>
      <c r="D882" s="58"/>
      <c r="E882" s="5"/>
      <c r="F882" s="6"/>
      <c r="G882" s="7"/>
      <c r="H882" s="2"/>
      <c r="I882" s="61"/>
      <c r="J882" s="8"/>
      <c r="K882" s="9"/>
      <c r="L882" s="10"/>
      <c r="M882" s="11"/>
      <c r="N882" s="6"/>
      <c r="O882" s="12"/>
      <c r="P882" s="6"/>
      <c r="Q882" s="6"/>
    </row>
    <row r="883" spans="1:17" x14ac:dyDescent="0.25">
      <c r="A883" s="2"/>
      <c r="B883" s="3"/>
      <c r="C883" s="4"/>
      <c r="D883" s="58"/>
      <c r="E883" s="5"/>
      <c r="F883" s="6"/>
      <c r="G883" s="7"/>
      <c r="H883" s="2"/>
      <c r="I883" s="61"/>
      <c r="J883" s="8"/>
      <c r="K883" s="9"/>
      <c r="L883" s="10"/>
      <c r="M883" s="11"/>
      <c r="N883" s="6"/>
      <c r="O883" s="12"/>
      <c r="P883" s="6"/>
      <c r="Q883" s="6"/>
    </row>
    <row r="884" spans="1:17" x14ac:dyDescent="0.25">
      <c r="A884" s="2"/>
      <c r="B884" s="3"/>
      <c r="C884" s="4"/>
      <c r="D884" s="58"/>
      <c r="E884" s="5"/>
      <c r="F884" s="6"/>
      <c r="G884" s="7"/>
      <c r="H884" s="2"/>
      <c r="I884" s="61"/>
      <c r="J884" s="8"/>
      <c r="K884" s="9"/>
      <c r="L884" s="10"/>
      <c r="M884" s="11"/>
      <c r="N884" s="6"/>
      <c r="O884" s="12"/>
      <c r="P884" s="6"/>
      <c r="Q884" s="6"/>
    </row>
    <row r="885" spans="1:17" x14ac:dyDescent="0.25">
      <c r="A885" s="2"/>
      <c r="B885" s="3"/>
      <c r="C885" s="4"/>
      <c r="D885" s="58"/>
      <c r="E885" s="5"/>
      <c r="F885" s="6"/>
      <c r="G885" s="7"/>
      <c r="H885" s="2"/>
      <c r="I885" s="61"/>
      <c r="J885" s="8"/>
      <c r="K885" s="9"/>
      <c r="L885" s="10"/>
      <c r="M885" s="11"/>
      <c r="N885" s="6"/>
      <c r="O885" s="12"/>
      <c r="P885" s="6"/>
      <c r="Q885" s="6"/>
    </row>
    <row r="886" spans="1:17" x14ac:dyDescent="0.25">
      <c r="A886" s="2"/>
      <c r="B886" s="3"/>
      <c r="C886" s="4"/>
      <c r="D886" s="58"/>
      <c r="E886" s="5"/>
      <c r="F886" s="6"/>
      <c r="G886" s="7"/>
      <c r="H886" s="2"/>
      <c r="I886" s="61"/>
      <c r="J886" s="8"/>
      <c r="K886" s="9"/>
      <c r="L886" s="10"/>
      <c r="M886" s="11"/>
      <c r="N886" s="6"/>
      <c r="O886" s="12"/>
      <c r="P886" s="6"/>
      <c r="Q886" s="6"/>
    </row>
    <row r="887" spans="1:17" x14ac:dyDescent="0.25">
      <c r="A887" s="2"/>
      <c r="B887" s="3"/>
      <c r="C887" s="4"/>
      <c r="D887" s="58"/>
      <c r="E887" s="5"/>
      <c r="F887" s="6"/>
      <c r="G887" s="7"/>
      <c r="H887" s="2"/>
      <c r="I887" s="61"/>
      <c r="J887" s="8"/>
      <c r="K887" s="9"/>
      <c r="L887" s="10"/>
      <c r="M887" s="11"/>
      <c r="N887" s="6"/>
      <c r="O887" s="12"/>
      <c r="P887" s="6"/>
      <c r="Q887" s="6"/>
    </row>
    <row r="888" spans="1:17" x14ac:dyDescent="0.25">
      <c r="A888" s="2"/>
      <c r="B888" s="3"/>
      <c r="C888" s="4"/>
      <c r="D888" s="58"/>
      <c r="E888" s="5"/>
      <c r="F888" s="6"/>
      <c r="G888" s="7"/>
      <c r="H888" s="2"/>
      <c r="I888" s="61"/>
      <c r="J888" s="8"/>
      <c r="K888" s="9"/>
      <c r="L888" s="10"/>
      <c r="M888" s="11"/>
      <c r="N888" s="6"/>
      <c r="O888" s="12"/>
      <c r="P888" s="6"/>
      <c r="Q888" s="6"/>
    </row>
    <row r="889" spans="1:17" x14ac:dyDescent="0.25">
      <c r="A889" s="2"/>
      <c r="B889" s="3"/>
      <c r="C889" s="4"/>
      <c r="D889" s="58"/>
      <c r="E889" s="5"/>
      <c r="F889" s="6"/>
      <c r="G889" s="7"/>
      <c r="H889" s="2"/>
      <c r="I889" s="61"/>
      <c r="J889" s="8"/>
      <c r="K889" s="9"/>
      <c r="L889" s="10"/>
      <c r="M889" s="11"/>
      <c r="N889" s="6"/>
      <c r="O889" s="12"/>
      <c r="P889" s="6"/>
      <c r="Q889" s="6"/>
    </row>
    <row r="890" spans="1:17" x14ac:dyDescent="0.25">
      <c r="A890" s="2"/>
      <c r="B890" s="3"/>
      <c r="C890" s="4"/>
      <c r="D890" s="58"/>
      <c r="E890" s="5"/>
      <c r="F890" s="6"/>
      <c r="G890" s="7"/>
      <c r="H890" s="2"/>
      <c r="I890" s="61"/>
      <c r="J890" s="8"/>
      <c r="K890" s="9"/>
      <c r="L890" s="10"/>
      <c r="M890" s="11"/>
      <c r="N890" s="6"/>
      <c r="O890" s="12"/>
      <c r="P890" s="6"/>
      <c r="Q890" s="6"/>
    </row>
    <row r="891" spans="1:17" x14ac:dyDescent="0.25">
      <c r="A891" s="2"/>
      <c r="B891" s="3"/>
      <c r="C891" s="4"/>
      <c r="D891" s="58"/>
      <c r="E891" s="5"/>
      <c r="F891" s="6"/>
      <c r="G891" s="7"/>
      <c r="H891" s="2"/>
      <c r="I891" s="61"/>
      <c r="J891" s="8"/>
      <c r="K891" s="9"/>
      <c r="L891" s="10"/>
      <c r="M891" s="11"/>
      <c r="N891" s="6"/>
      <c r="O891" s="12"/>
      <c r="P891" s="6"/>
      <c r="Q891" s="6"/>
    </row>
    <row r="892" spans="1:17" x14ac:dyDescent="0.25">
      <c r="A892" s="2"/>
      <c r="B892" s="3"/>
      <c r="C892" s="4"/>
      <c r="D892" s="58"/>
      <c r="E892" s="5"/>
      <c r="F892" s="6"/>
      <c r="G892" s="7"/>
      <c r="H892" s="2"/>
      <c r="I892" s="61"/>
      <c r="J892" s="8"/>
      <c r="K892" s="9"/>
      <c r="L892" s="10"/>
      <c r="M892" s="11"/>
      <c r="N892" s="6"/>
      <c r="O892" s="12"/>
      <c r="P892" s="6"/>
      <c r="Q892" s="6"/>
    </row>
    <row r="893" spans="1:17" x14ac:dyDescent="0.25">
      <c r="A893" s="2"/>
      <c r="B893" s="3"/>
      <c r="C893" s="4"/>
      <c r="D893" s="58"/>
      <c r="E893" s="5"/>
      <c r="F893" s="6"/>
      <c r="G893" s="7"/>
      <c r="H893" s="2"/>
      <c r="I893" s="61"/>
      <c r="J893" s="8"/>
      <c r="K893" s="9"/>
      <c r="L893" s="10"/>
      <c r="M893" s="11"/>
      <c r="N893" s="6"/>
      <c r="O893" s="12"/>
      <c r="P893" s="6"/>
      <c r="Q893" s="6"/>
    </row>
    <row r="894" spans="1:17" x14ac:dyDescent="0.25">
      <c r="A894" s="2"/>
      <c r="B894" s="3"/>
      <c r="C894" s="4"/>
      <c r="D894" s="58"/>
      <c r="E894" s="5"/>
      <c r="F894" s="6"/>
      <c r="G894" s="7"/>
      <c r="H894" s="2"/>
      <c r="I894" s="61"/>
      <c r="J894" s="8"/>
      <c r="K894" s="9"/>
      <c r="L894" s="10"/>
      <c r="M894" s="11"/>
      <c r="N894" s="6"/>
      <c r="O894" s="12"/>
      <c r="P894" s="6"/>
      <c r="Q894" s="6"/>
    </row>
    <row r="895" spans="1:17" x14ac:dyDescent="0.25">
      <c r="A895" s="2"/>
      <c r="B895" s="3"/>
      <c r="C895" s="4"/>
      <c r="D895" s="58"/>
      <c r="E895" s="5"/>
      <c r="F895" s="6"/>
      <c r="G895" s="7"/>
      <c r="H895" s="2"/>
      <c r="I895" s="61"/>
      <c r="J895" s="8"/>
      <c r="K895" s="9"/>
      <c r="L895" s="10"/>
      <c r="M895" s="11"/>
      <c r="N895" s="6"/>
      <c r="O895" s="12"/>
      <c r="P895" s="6"/>
      <c r="Q895" s="6"/>
    </row>
    <row r="896" spans="1:17" x14ac:dyDescent="0.25">
      <c r="A896" s="2"/>
      <c r="B896" s="3"/>
      <c r="C896" s="4"/>
      <c r="D896" s="58"/>
      <c r="E896" s="5"/>
      <c r="F896" s="6"/>
      <c r="G896" s="7"/>
      <c r="H896" s="2"/>
      <c r="I896" s="61"/>
      <c r="J896" s="8"/>
      <c r="K896" s="9"/>
      <c r="L896" s="10"/>
      <c r="M896" s="11"/>
      <c r="N896" s="6"/>
      <c r="O896" s="12"/>
      <c r="P896" s="6"/>
      <c r="Q896" s="6"/>
    </row>
    <row r="897" spans="1:17" x14ac:dyDescent="0.25">
      <c r="A897" s="2"/>
      <c r="B897" s="3"/>
      <c r="C897" s="4"/>
      <c r="D897" s="58"/>
      <c r="E897" s="5"/>
      <c r="F897" s="6"/>
      <c r="G897" s="7"/>
      <c r="H897" s="2"/>
      <c r="I897" s="61"/>
      <c r="J897" s="8"/>
      <c r="K897" s="9"/>
      <c r="L897" s="10"/>
      <c r="M897" s="11"/>
      <c r="N897" s="6"/>
      <c r="O897" s="12"/>
      <c r="P897" s="6"/>
      <c r="Q897" s="6"/>
    </row>
    <row r="898" spans="1:17" x14ac:dyDescent="0.25">
      <c r="A898" s="2"/>
      <c r="B898" s="3"/>
      <c r="C898" s="4"/>
      <c r="D898" s="58"/>
      <c r="E898" s="5"/>
      <c r="F898" s="6"/>
      <c r="G898" s="7"/>
      <c r="H898" s="2"/>
      <c r="I898" s="61"/>
      <c r="J898" s="8"/>
      <c r="K898" s="9"/>
      <c r="L898" s="10"/>
      <c r="M898" s="11"/>
      <c r="N898" s="6"/>
      <c r="O898" s="12"/>
      <c r="P898" s="6"/>
      <c r="Q898" s="6"/>
    </row>
    <row r="899" spans="1:17" x14ac:dyDescent="0.25">
      <c r="A899" s="2"/>
      <c r="B899" s="3"/>
      <c r="C899" s="4"/>
      <c r="D899" s="58"/>
      <c r="E899" s="5"/>
      <c r="F899" s="6"/>
      <c r="G899" s="7"/>
      <c r="H899" s="2"/>
      <c r="I899" s="61"/>
      <c r="J899" s="8"/>
      <c r="K899" s="9"/>
      <c r="L899" s="10"/>
      <c r="M899" s="11"/>
      <c r="N899" s="6"/>
      <c r="O899" s="12"/>
      <c r="P899" s="6"/>
      <c r="Q899" s="6"/>
    </row>
    <row r="900" spans="1:17" x14ac:dyDescent="0.25">
      <c r="A900" s="2"/>
      <c r="B900" s="3"/>
      <c r="C900" s="4"/>
      <c r="D900" s="58"/>
      <c r="E900" s="5"/>
      <c r="F900" s="6"/>
      <c r="G900" s="7"/>
      <c r="H900" s="2"/>
      <c r="I900" s="61"/>
      <c r="J900" s="8"/>
      <c r="K900" s="9"/>
      <c r="L900" s="10"/>
      <c r="M900" s="11"/>
      <c r="N900" s="6"/>
      <c r="O900" s="12"/>
      <c r="P900" s="6"/>
      <c r="Q900" s="6"/>
    </row>
    <row r="901" spans="1:17" x14ac:dyDescent="0.25">
      <c r="A901" s="2"/>
      <c r="B901" s="3"/>
      <c r="C901" s="4"/>
      <c r="D901" s="58"/>
      <c r="E901" s="5"/>
      <c r="F901" s="6"/>
      <c r="G901" s="7"/>
      <c r="H901" s="2"/>
      <c r="I901" s="61"/>
      <c r="J901" s="8"/>
      <c r="K901" s="9"/>
      <c r="L901" s="10"/>
      <c r="M901" s="11"/>
      <c r="N901" s="6"/>
      <c r="O901" s="12"/>
      <c r="P901" s="6"/>
      <c r="Q901" s="6"/>
    </row>
    <row r="902" spans="1:17" x14ac:dyDescent="0.25">
      <c r="A902" s="2"/>
      <c r="B902" s="3"/>
      <c r="C902" s="4"/>
      <c r="D902" s="58"/>
      <c r="E902" s="5"/>
      <c r="F902" s="6"/>
      <c r="G902" s="7"/>
      <c r="H902" s="2"/>
      <c r="I902" s="61"/>
      <c r="J902" s="8"/>
      <c r="K902" s="9"/>
      <c r="L902" s="10"/>
      <c r="M902" s="11"/>
      <c r="N902" s="6"/>
      <c r="O902" s="12"/>
      <c r="P902" s="6"/>
      <c r="Q902" s="6"/>
    </row>
    <row r="903" spans="1:17" x14ac:dyDescent="0.25">
      <c r="A903" s="2"/>
      <c r="B903" s="3"/>
      <c r="C903" s="4"/>
      <c r="D903" s="58"/>
      <c r="E903" s="5"/>
      <c r="F903" s="6"/>
      <c r="G903" s="7"/>
      <c r="H903" s="2"/>
      <c r="I903" s="61"/>
      <c r="J903" s="8"/>
      <c r="K903" s="9"/>
      <c r="L903" s="10"/>
      <c r="M903" s="11"/>
      <c r="N903" s="6"/>
      <c r="O903" s="12"/>
      <c r="P903" s="6"/>
      <c r="Q903" s="6"/>
    </row>
    <row r="904" spans="1:17" x14ac:dyDescent="0.25">
      <c r="A904" s="2"/>
      <c r="B904" s="3"/>
      <c r="C904" s="4"/>
      <c r="D904" s="58"/>
      <c r="E904" s="5"/>
      <c r="F904" s="6"/>
      <c r="G904" s="7"/>
      <c r="H904" s="2"/>
      <c r="I904" s="61"/>
      <c r="J904" s="8"/>
      <c r="K904" s="9"/>
      <c r="L904" s="10"/>
      <c r="M904" s="11"/>
      <c r="N904" s="6"/>
      <c r="O904" s="12"/>
      <c r="P904" s="6"/>
      <c r="Q904" s="6"/>
    </row>
    <row r="905" spans="1:17" x14ac:dyDescent="0.25">
      <c r="A905" s="2"/>
      <c r="B905" s="3"/>
      <c r="C905" s="4"/>
      <c r="D905" s="58"/>
      <c r="E905" s="5"/>
      <c r="F905" s="6"/>
      <c r="G905" s="7"/>
      <c r="H905" s="2"/>
      <c r="I905" s="61"/>
      <c r="J905" s="8"/>
      <c r="K905" s="9"/>
      <c r="L905" s="10"/>
      <c r="M905" s="11"/>
      <c r="N905" s="6"/>
      <c r="O905" s="12"/>
      <c r="P905" s="6"/>
      <c r="Q905" s="6"/>
    </row>
    <row r="906" spans="1:17" x14ac:dyDescent="0.25">
      <c r="A906" s="2"/>
      <c r="B906" s="3"/>
      <c r="C906" s="4"/>
      <c r="D906" s="58"/>
      <c r="E906" s="5"/>
      <c r="F906" s="6"/>
      <c r="G906" s="7"/>
      <c r="H906" s="2"/>
      <c r="I906" s="61"/>
      <c r="J906" s="8"/>
      <c r="K906" s="9"/>
      <c r="L906" s="10"/>
      <c r="M906" s="11"/>
      <c r="N906" s="6"/>
      <c r="O906" s="12"/>
      <c r="P906" s="6"/>
      <c r="Q906" s="6"/>
    </row>
    <row r="907" spans="1:17" x14ac:dyDescent="0.25">
      <c r="A907" s="2"/>
      <c r="B907" s="3"/>
      <c r="C907" s="4"/>
      <c r="D907" s="58"/>
      <c r="E907" s="5"/>
      <c r="F907" s="6"/>
      <c r="G907" s="7"/>
      <c r="H907" s="2"/>
      <c r="I907" s="61"/>
      <c r="J907" s="8"/>
      <c r="K907" s="9"/>
      <c r="L907" s="10"/>
      <c r="M907" s="11"/>
      <c r="N907" s="6"/>
      <c r="O907" s="12"/>
      <c r="P907" s="6"/>
      <c r="Q907" s="6"/>
    </row>
    <row r="908" spans="1:17" x14ac:dyDescent="0.25">
      <c r="A908" s="2"/>
      <c r="B908" s="3"/>
      <c r="C908" s="4"/>
      <c r="D908" s="58"/>
      <c r="E908" s="5"/>
      <c r="F908" s="6"/>
      <c r="G908" s="7"/>
      <c r="H908" s="2"/>
      <c r="I908" s="61"/>
      <c r="J908" s="8"/>
      <c r="K908" s="9"/>
      <c r="L908" s="10"/>
      <c r="M908" s="11"/>
      <c r="N908" s="6"/>
      <c r="O908" s="12"/>
      <c r="P908" s="6"/>
      <c r="Q908" s="6"/>
    </row>
    <row r="909" spans="1:17" x14ac:dyDescent="0.25">
      <c r="A909" s="2"/>
      <c r="B909" s="3"/>
      <c r="C909" s="4"/>
      <c r="D909" s="58"/>
      <c r="E909" s="5"/>
      <c r="F909" s="6"/>
      <c r="G909" s="7"/>
      <c r="H909" s="2"/>
      <c r="I909" s="61"/>
      <c r="J909" s="8"/>
      <c r="K909" s="9"/>
      <c r="L909" s="10"/>
      <c r="M909" s="11"/>
      <c r="N909" s="6"/>
      <c r="O909" s="12"/>
      <c r="P909" s="6"/>
      <c r="Q909" s="6"/>
    </row>
    <row r="910" spans="1:17" x14ac:dyDescent="0.25">
      <c r="A910" s="2"/>
      <c r="B910" s="3"/>
      <c r="C910" s="4"/>
      <c r="D910" s="58"/>
      <c r="E910" s="5"/>
      <c r="F910" s="6"/>
      <c r="G910" s="7"/>
      <c r="H910" s="2"/>
      <c r="I910" s="61"/>
      <c r="J910" s="8"/>
      <c r="K910" s="9"/>
      <c r="L910" s="10"/>
      <c r="M910" s="11"/>
      <c r="N910" s="6"/>
      <c r="O910" s="12"/>
      <c r="P910" s="6"/>
      <c r="Q910" s="6"/>
    </row>
    <row r="911" spans="1:17" x14ac:dyDescent="0.25">
      <c r="A911" s="2"/>
      <c r="B911" s="3"/>
      <c r="C911" s="4"/>
      <c r="D911" s="58"/>
      <c r="E911" s="5"/>
      <c r="F911" s="6"/>
      <c r="G911" s="7"/>
      <c r="H911" s="2"/>
      <c r="I911" s="61"/>
      <c r="J911" s="8"/>
      <c r="K911" s="9"/>
      <c r="L911" s="10"/>
      <c r="M911" s="11"/>
      <c r="N911" s="6"/>
      <c r="O911" s="12"/>
      <c r="P911" s="6"/>
      <c r="Q911" s="6"/>
    </row>
    <row r="912" spans="1:17" x14ac:dyDescent="0.25">
      <c r="A912" s="2"/>
      <c r="B912" s="3"/>
      <c r="C912" s="4"/>
      <c r="D912" s="58"/>
      <c r="E912" s="5"/>
      <c r="F912" s="6"/>
      <c r="G912" s="7"/>
      <c r="H912" s="2"/>
      <c r="I912" s="61"/>
      <c r="J912" s="8"/>
      <c r="K912" s="9"/>
      <c r="L912" s="10"/>
      <c r="M912" s="11"/>
      <c r="N912" s="6"/>
      <c r="O912" s="12"/>
      <c r="P912" s="6"/>
      <c r="Q912" s="6"/>
    </row>
    <row r="913" spans="1:17" x14ac:dyDescent="0.25">
      <c r="A913" s="2"/>
      <c r="B913" s="3"/>
      <c r="C913" s="4"/>
      <c r="D913" s="58"/>
      <c r="E913" s="5"/>
      <c r="F913" s="6"/>
      <c r="G913" s="7"/>
      <c r="H913" s="2"/>
      <c r="I913" s="61"/>
      <c r="J913" s="8"/>
      <c r="K913" s="9"/>
      <c r="L913" s="10"/>
      <c r="M913" s="11"/>
      <c r="N913" s="6"/>
      <c r="O913" s="12"/>
      <c r="P913" s="6"/>
      <c r="Q913" s="6"/>
    </row>
    <row r="914" spans="1:17" x14ac:dyDescent="0.25">
      <c r="A914" s="2"/>
      <c r="B914" s="3"/>
      <c r="C914" s="4"/>
      <c r="D914" s="58"/>
      <c r="E914" s="5"/>
      <c r="F914" s="6"/>
      <c r="G914" s="7"/>
      <c r="H914" s="2"/>
      <c r="I914" s="61"/>
      <c r="J914" s="8"/>
      <c r="K914" s="9"/>
      <c r="L914" s="10"/>
      <c r="M914" s="11"/>
      <c r="N914" s="6"/>
      <c r="O914" s="12"/>
      <c r="P914" s="6"/>
      <c r="Q914" s="6"/>
    </row>
    <row r="915" spans="1:17" x14ac:dyDescent="0.25">
      <c r="A915" s="2"/>
      <c r="B915" s="3"/>
      <c r="C915" s="4"/>
      <c r="D915" s="58"/>
      <c r="E915" s="5"/>
      <c r="F915" s="6"/>
      <c r="G915" s="7"/>
      <c r="H915" s="2"/>
      <c r="I915" s="61"/>
      <c r="J915" s="8"/>
      <c r="K915" s="9"/>
      <c r="L915" s="10"/>
      <c r="M915" s="11"/>
      <c r="N915" s="6"/>
      <c r="O915" s="12"/>
      <c r="P915" s="6"/>
      <c r="Q915" s="6"/>
    </row>
    <row r="916" spans="1:17" x14ac:dyDescent="0.25">
      <c r="A916" s="2"/>
      <c r="B916" s="3"/>
      <c r="C916" s="4"/>
      <c r="D916" s="58"/>
      <c r="E916" s="5"/>
      <c r="F916" s="6"/>
      <c r="G916" s="7"/>
      <c r="H916" s="2"/>
      <c r="I916" s="61"/>
      <c r="J916" s="8"/>
      <c r="K916" s="9"/>
      <c r="L916" s="10"/>
      <c r="M916" s="11"/>
      <c r="N916" s="6"/>
      <c r="O916" s="12"/>
      <c r="P916" s="6"/>
      <c r="Q916" s="6"/>
    </row>
    <row r="917" spans="1:17" x14ac:dyDescent="0.25">
      <c r="A917" s="2"/>
      <c r="B917" s="3"/>
      <c r="C917" s="4"/>
      <c r="D917" s="58"/>
      <c r="E917" s="5"/>
      <c r="F917" s="6"/>
      <c r="G917" s="7"/>
      <c r="H917" s="2"/>
      <c r="I917" s="61"/>
      <c r="J917" s="8"/>
      <c r="K917" s="9"/>
      <c r="L917" s="10"/>
      <c r="M917" s="11"/>
      <c r="N917" s="6"/>
      <c r="O917" s="12"/>
      <c r="P917" s="6"/>
      <c r="Q917" s="6"/>
    </row>
    <row r="918" spans="1:17" x14ac:dyDescent="0.25">
      <c r="A918" s="2"/>
      <c r="B918" s="3"/>
      <c r="C918" s="4"/>
      <c r="D918" s="58"/>
      <c r="E918" s="5"/>
      <c r="F918" s="6"/>
      <c r="G918" s="7"/>
      <c r="H918" s="2"/>
      <c r="I918" s="61"/>
      <c r="J918" s="8"/>
      <c r="K918" s="9"/>
      <c r="L918" s="10"/>
      <c r="M918" s="11"/>
      <c r="N918" s="6"/>
      <c r="O918" s="12"/>
      <c r="P918" s="6"/>
      <c r="Q918" s="6"/>
    </row>
    <row r="919" spans="1:17" x14ac:dyDescent="0.25">
      <c r="A919" s="2"/>
      <c r="B919" s="3"/>
      <c r="C919" s="4"/>
      <c r="D919" s="58"/>
      <c r="E919" s="5"/>
      <c r="F919" s="6"/>
      <c r="G919" s="7"/>
      <c r="H919" s="2"/>
      <c r="I919" s="61"/>
      <c r="J919" s="8"/>
      <c r="K919" s="9"/>
      <c r="L919" s="10"/>
      <c r="M919" s="11"/>
      <c r="N919" s="6"/>
      <c r="O919" s="12"/>
      <c r="P919" s="6"/>
      <c r="Q919" s="6"/>
    </row>
    <row r="920" spans="1:17" x14ac:dyDescent="0.25">
      <c r="A920" s="2"/>
      <c r="B920" s="3"/>
      <c r="C920" s="4"/>
      <c r="D920" s="58"/>
      <c r="E920" s="5"/>
      <c r="F920" s="6"/>
      <c r="G920" s="7"/>
      <c r="H920" s="2"/>
      <c r="I920" s="61"/>
      <c r="J920" s="8"/>
      <c r="K920" s="9"/>
      <c r="L920" s="10"/>
      <c r="M920" s="11"/>
      <c r="N920" s="6"/>
      <c r="O920" s="12"/>
      <c r="P920" s="6"/>
      <c r="Q920" s="6"/>
    </row>
    <row r="921" spans="1:17" x14ac:dyDescent="0.25">
      <c r="A921" s="2"/>
      <c r="B921" s="3"/>
      <c r="C921" s="4"/>
      <c r="D921" s="58"/>
      <c r="E921" s="5"/>
      <c r="F921" s="6"/>
      <c r="G921" s="7"/>
      <c r="H921" s="2"/>
      <c r="I921" s="61"/>
      <c r="J921" s="8"/>
      <c r="K921" s="9"/>
      <c r="L921" s="10"/>
      <c r="M921" s="11"/>
      <c r="N921" s="6"/>
      <c r="O921" s="12"/>
      <c r="P921" s="6"/>
      <c r="Q921" s="6"/>
    </row>
    <row r="922" spans="1:17" x14ac:dyDescent="0.25">
      <c r="A922" s="2"/>
      <c r="B922" s="3"/>
      <c r="C922" s="4"/>
      <c r="D922" s="58"/>
      <c r="E922" s="5"/>
      <c r="F922" s="6"/>
      <c r="G922" s="7"/>
      <c r="H922" s="2"/>
      <c r="I922" s="61"/>
      <c r="J922" s="8"/>
      <c r="K922" s="9"/>
      <c r="L922" s="10"/>
      <c r="M922" s="11"/>
      <c r="N922" s="6"/>
      <c r="O922" s="12"/>
      <c r="P922" s="6"/>
      <c r="Q922" s="6"/>
    </row>
    <row r="923" spans="1:17" x14ac:dyDescent="0.25">
      <c r="A923" s="2"/>
      <c r="B923" s="3"/>
      <c r="C923" s="4"/>
      <c r="D923" s="58"/>
      <c r="E923" s="5"/>
      <c r="F923" s="6"/>
      <c r="G923" s="7"/>
      <c r="H923" s="2"/>
      <c r="I923" s="61"/>
      <c r="J923" s="8"/>
      <c r="K923" s="9"/>
      <c r="L923" s="10"/>
      <c r="M923" s="11"/>
      <c r="N923" s="6"/>
      <c r="O923" s="12"/>
      <c r="P923" s="6"/>
      <c r="Q923" s="6"/>
    </row>
    <row r="924" spans="1:17" x14ac:dyDescent="0.25">
      <c r="A924" s="2"/>
      <c r="B924" s="3"/>
      <c r="C924" s="4"/>
      <c r="D924" s="58"/>
      <c r="E924" s="5"/>
      <c r="F924" s="6"/>
      <c r="G924" s="7"/>
      <c r="H924" s="2"/>
      <c r="I924" s="61"/>
      <c r="J924" s="8"/>
      <c r="K924" s="9"/>
      <c r="L924" s="10"/>
      <c r="M924" s="11"/>
      <c r="N924" s="6"/>
      <c r="O924" s="12"/>
      <c r="P924" s="6"/>
      <c r="Q924" s="6"/>
    </row>
    <row r="925" spans="1:17" x14ac:dyDescent="0.25">
      <c r="A925" s="2"/>
      <c r="B925" s="3"/>
      <c r="C925" s="4"/>
      <c r="D925" s="58"/>
      <c r="E925" s="5"/>
      <c r="F925" s="6"/>
      <c r="G925" s="7"/>
      <c r="H925" s="2"/>
      <c r="I925" s="61"/>
      <c r="J925" s="8"/>
      <c r="K925" s="9"/>
      <c r="L925" s="10"/>
      <c r="M925" s="11"/>
      <c r="N925" s="6"/>
      <c r="O925" s="12"/>
      <c r="P925" s="6"/>
      <c r="Q925" s="6"/>
    </row>
    <row r="926" spans="1:17" x14ac:dyDescent="0.25">
      <c r="A926" s="2"/>
      <c r="B926" s="3"/>
      <c r="C926" s="4"/>
      <c r="D926" s="58"/>
      <c r="E926" s="5"/>
      <c r="F926" s="6"/>
      <c r="G926" s="7"/>
      <c r="H926" s="2"/>
      <c r="I926" s="61"/>
      <c r="J926" s="8"/>
      <c r="K926" s="9"/>
      <c r="L926" s="10"/>
      <c r="M926" s="11"/>
      <c r="N926" s="6"/>
      <c r="O926" s="12"/>
      <c r="P926" s="6"/>
      <c r="Q926" s="6"/>
    </row>
    <row r="927" spans="1:17" x14ac:dyDescent="0.25">
      <c r="A927" s="2"/>
      <c r="B927" s="3"/>
      <c r="C927" s="4"/>
      <c r="D927" s="58"/>
      <c r="E927" s="5"/>
      <c r="F927" s="6"/>
      <c r="G927" s="7"/>
      <c r="H927" s="2"/>
      <c r="I927" s="61"/>
      <c r="J927" s="8"/>
      <c r="K927" s="9"/>
      <c r="L927" s="10"/>
      <c r="M927" s="11"/>
      <c r="N927" s="6"/>
      <c r="O927" s="12"/>
      <c r="P927" s="6"/>
      <c r="Q927" s="6"/>
    </row>
    <row r="928" spans="1:17" x14ac:dyDescent="0.25">
      <c r="A928" s="2"/>
      <c r="B928" s="3"/>
      <c r="C928" s="4"/>
      <c r="D928" s="58"/>
      <c r="E928" s="5"/>
      <c r="F928" s="6"/>
      <c r="G928" s="7"/>
      <c r="H928" s="2"/>
      <c r="I928" s="61"/>
      <c r="J928" s="8"/>
      <c r="K928" s="9"/>
      <c r="L928" s="10"/>
      <c r="M928" s="11"/>
      <c r="N928" s="6"/>
      <c r="O928" s="12"/>
      <c r="P928" s="6"/>
      <c r="Q928" s="6"/>
    </row>
    <row r="929" spans="1:17" x14ac:dyDescent="0.25">
      <c r="A929" s="2"/>
      <c r="B929" s="3"/>
      <c r="C929" s="4"/>
      <c r="D929" s="58"/>
      <c r="E929" s="5"/>
      <c r="F929" s="6"/>
      <c r="G929" s="7"/>
      <c r="H929" s="2"/>
      <c r="I929" s="61"/>
      <c r="J929" s="8"/>
      <c r="K929" s="9"/>
      <c r="L929" s="10"/>
      <c r="M929" s="11"/>
      <c r="N929" s="6"/>
      <c r="O929" s="12"/>
      <c r="P929" s="6"/>
      <c r="Q929" s="6"/>
    </row>
    <row r="930" spans="1:17" x14ac:dyDescent="0.25">
      <c r="A930" s="2"/>
      <c r="B930" s="3"/>
      <c r="C930" s="4"/>
      <c r="D930" s="58"/>
      <c r="E930" s="5"/>
      <c r="F930" s="6"/>
      <c r="G930" s="33"/>
      <c r="H930" s="2"/>
      <c r="I930" s="61"/>
      <c r="J930" s="8"/>
      <c r="K930" s="9"/>
      <c r="L930" s="10"/>
      <c r="M930" s="11"/>
      <c r="N930" s="6"/>
      <c r="O930" s="12"/>
      <c r="P930" s="6"/>
      <c r="Q930" s="6"/>
    </row>
    <row r="931" spans="1:17" x14ac:dyDescent="0.25">
      <c r="A931" s="2"/>
      <c r="B931" s="3"/>
      <c r="C931" s="4"/>
      <c r="D931" s="58"/>
      <c r="E931" s="5"/>
      <c r="F931" s="6"/>
      <c r="G931" s="7"/>
      <c r="H931" s="2"/>
      <c r="I931" s="61"/>
      <c r="J931" s="8"/>
      <c r="K931" s="9"/>
      <c r="L931" s="10"/>
      <c r="M931" s="11"/>
      <c r="N931" s="6"/>
      <c r="O931" s="12"/>
      <c r="P931" s="6"/>
      <c r="Q931" s="6"/>
    </row>
    <row r="932" spans="1:17" x14ac:dyDescent="0.25">
      <c r="A932" s="2"/>
      <c r="B932" s="3"/>
      <c r="C932" s="4"/>
      <c r="D932" s="58"/>
      <c r="E932" s="5"/>
      <c r="F932" s="6"/>
      <c r="G932" s="7"/>
      <c r="H932" s="2"/>
      <c r="I932" s="61"/>
      <c r="J932" s="8"/>
      <c r="K932" s="9"/>
      <c r="L932" s="10"/>
      <c r="M932" s="11"/>
      <c r="N932" s="6"/>
      <c r="O932" s="12"/>
      <c r="P932" s="6"/>
      <c r="Q932" s="6"/>
    </row>
    <row r="933" spans="1:17" x14ac:dyDescent="0.25">
      <c r="A933" s="2"/>
      <c r="B933" s="3"/>
      <c r="C933" s="4"/>
      <c r="D933" s="58"/>
      <c r="E933" s="5"/>
      <c r="F933" s="6"/>
      <c r="G933" s="7"/>
      <c r="H933" s="2"/>
      <c r="I933" s="61"/>
      <c r="J933" s="8"/>
      <c r="K933" s="9"/>
      <c r="L933" s="10"/>
      <c r="M933" s="11"/>
      <c r="N933" s="6"/>
      <c r="O933" s="12"/>
      <c r="P933" s="6"/>
      <c r="Q933" s="6"/>
    </row>
    <row r="934" spans="1:17" x14ac:dyDescent="0.25">
      <c r="A934" s="2"/>
      <c r="B934" s="3"/>
      <c r="C934" s="4"/>
      <c r="D934" s="58"/>
      <c r="E934" s="5"/>
      <c r="F934" s="6"/>
      <c r="G934" s="7"/>
      <c r="H934" s="2"/>
      <c r="I934" s="61"/>
      <c r="J934" s="8"/>
      <c r="K934" s="9"/>
      <c r="L934" s="10"/>
      <c r="M934" s="11"/>
      <c r="N934" s="6"/>
      <c r="O934" s="12"/>
      <c r="P934" s="6"/>
      <c r="Q934" s="6"/>
    </row>
    <row r="935" spans="1:17" x14ac:dyDescent="0.25">
      <c r="A935" s="2"/>
      <c r="B935" s="3"/>
      <c r="C935" s="4"/>
      <c r="D935" s="58"/>
      <c r="E935" s="5"/>
      <c r="F935" s="6"/>
      <c r="G935" s="7"/>
      <c r="H935" s="2"/>
      <c r="I935" s="61"/>
      <c r="J935" s="8"/>
      <c r="K935" s="9"/>
      <c r="L935" s="10"/>
      <c r="M935" s="11"/>
      <c r="N935" s="6"/>
      <c r="O935" s="12"/>
      <c r="P935" s="6"/>
      <c r="Q935" s="6"/>
    </row>
    <row r="936" spans="1:17" x14ac:dyDescent="0.25">
      <c r="A936" s="2"/>
      <c r="B936" s="3"/>
      <c r="C936" s="4"/>
      <c r="D936" s="58"/>
      <c r="E936" s="5"/>
      <c r="F936" s="6"/>
      <c r="G936" s="7"/>
      <c r="H936" s="2"/>
      <c r="I936" s="61"/>
      <c r="J936" s="8"/>
      <c r="K936" s="9"/>
      <c r="L936" s="10"/>
      <c r="M936" s="11"/>
      <c r="N936" s="6"/>
      <c r="O936" s="12"/>
      <c r="P936" s="6"/>
      <c r="Q936" s="6"/>
    </row>
    <row r="937" spans="1:17" x14ac:dyDescent="0.25">
      <c r="A937" s="2"/>
      <c r="B937" s="3"/>
      <c r="C937" s="4"/>
      <c r="D937" s="58"/>
      <c r="E937" s="5"/>
      <c r="F937" s="6"/>
      <c r="G937" s="7"/>
      <c r="H937" s="2"/>
      <c r="I937" s="61"/>
      <c r="J937" s="8"/>
      <c r="K937" s="9"/>
      <c r="L937" s="10"/>
      <c r="M937" s="11"/>
      <c r="N937" s="6"/>
      <c r="O937" s="12"/>
      <c r="P937" s="6"/>
      <c r="Q937" s="6"/>
    </row>
    <row r="938" spans="1:17" x14ac:dyDescent="0.25">
      <c r="A938" s="2"/>
      <c r="B938" s="3"/>
      <c r="C938" s="4"/>
      <c r="D938" s="58"/>
      <c r="E938" s="5"/>
      <c r="F938" s="6"/>
      <c r="G938" s="7"/>
      <c r="H938" s="2"/>
      <c r="I938" s="61"/>
      <c r="J938" s="8"/>
      <c r="K938" s="9"/>
      <c r="L938" s="10"/>
      <c r="M938" s="11"/>
      <c r="N938" s="6"/>
      <c r="O938" s="12"/>
      <c r="P938" s="6"/>
      <c r="Q938" s="6"/>
    </row>
    <row r="939" spans="1:17" x14ac:dyDescent="0.25">
      <c r="A939" s="2"/>
      <c r="B939" s="3"/>
      <c r="C939" s="4"/>
      <c r="D939" s="58"/>
      <c r="E939" s="5"/>
      <c r="F939" s="6"/>
      <c r="G939" s="7"/>
      <c r="H939" s="2"/>
      <c r="I939" s="61"/>
      <c r="J939" s="8"/>
      <c r="K939" s="9"/>
      <c r="L939" s="10"/>
      <c r="M939" s="11"/>
      <c r="N939" s="6"/>
      <c r="O939" s="12"/>
      <c r="P939" s="6"/>
      <c r="Q939" s="6"/>
    </row>
    <row r="940" spans="1:17" x14ac:dyDescent="0.25">
      <c r="A940" s="2"/>
      <c r="B940" s="3"/>
      <c r="C940" s="4"/>
      <c r="D940" s="58"/>
      <c r="E940" s="5"/>
      <c r="F940" s="6"/>
      <c r="G940" s="7"/>
      <c r="H940" s="2"/>
      <c r="I940" s="61"/>
      <c r="J940" s="8"/>
      <c r="K940" s="9"/>
      <c r="L940" s="10"/>
      <c r="M940" s="11"/>
      <c r="N940" s="6"/>
      <c r="O940" s="12"/>
      <c r="P940" s="6"/>
      <c r="Q940" s="6"/>
    </row>
    <row r="941" spans="1:17" x14ac:dyDescent="0.25">
      <c r="A941" s="2"/>
      <c r="B941" s="3"/>
      <c r="C941" s="4"/>
      <c r="D941" s="58"/>
      <c r="E941" s="5"/>
      <c r="F941" s="6"/>
      <c r="G941" s="7"/>
      <c r="H941" s="2"/>
      <c r="I941" s="61"/>
      <c r="J941" s="8"/>
      <c r="K941" s="9"/>
      <c r="L941" s="10"/>
      <c r="M941" s="11"/>
      <c r="N941" s="6"/>
      <c r="O941" s="12"/>
      <c r="P941" s="6"/>
      <c r="Q941" s="6"/>
    </row>
    <row r="942" spans="1:17" x14ac:dyDescent="0.25">
      <c r="A942" s="2"/>
      <c r="B942" s="3"/>
      <c r="C942" s="4"/>
      <c r="D942" s="58"/>
      <c r="E942" s="5"/>
      <c r="F942" s="6"/>
      <c r="G942" s="33"/>
      <c r="H942" s="2"/>
      <c r="I942" s="63"/>
      <c r="J942" s="8"/>
      <c r="K942" s="9"/>
      <c r="L942" s="10"/>
      <c r="M942" s="18"/>
      <c r="N942" s="6"/>
      <c r="O942" s="12"/>
      <c r="P942" s="6"/>
      <c r="Q942" s="6"/>
    </row>
    <row r="943" spans="1:17" x14ac:dyDescent="0.25">
      <c r="A943" s="2"/>
      <c r="B943" s="16"/>
      <c r="C943" s="24"/>
      <c r="D943" s="58"/>
      <c r="E943" s="17"/>
      <c r="F943" s="6"/>
      <c r="G943" s="7"/>
      <c r="H943" s="2"/>
      <c r="I943" s="63"/>
      <c r="J943" s="8"/>
      <c r="K943" s="9"/>
      <c r="L943" s="10"/>
      <c r="M943" s="18"/>
      <c r="N943" s="6"/>
      <c r="O943" s="12"/>
      <c r="P943" s="6"/>
      <c r="Q943" s="6"/>
    </row>
    <row r="944" spans="1:17" x14ac:dyDescent="0.25">
      <c r="A944" s="2"/>
      <c r="B944" s="16"/>
      <c r="C944" s="24"/>
      <c r="D944" s="58"/>
      <c r="E944" s="17"/>
      <c r="F944" s="6"/>
      <c r="G944" s="7"/>
      <c r="H944" s="2"/>
      <c r="I944" s="63"/>
      <c r="J944" s="8"/>
      <c r="K944" s="9"/>
      <c r="L944" s="10"/>
      <c r="M944" s="18"/>
      <c r="N944" s="6"/>
      <c r="O944" s="12"/>
      <c r="P944" s="6"/>
      <c r="Q944" s="6"/>
    </row>
    <row r="945" spans="1:17" x14ac:dyDescent="0.25">
      <c r="A945" s="2"/>
      <c r="B945" s="16"/>
      <c r="C945" s="24"/>
      <c r="D945" s="58"/>
      <c r="E945" s="17"/>
      <c r="F945" s="6"/>
      <c r="G945" s="7"/>
      <c r="H945" s="2"/>
      <c r="I945" s="63"/>
      <c r="J945" s="8"/>
      <c r="K945" s="9"/>
      <c r="L945" s="10"/>
      <c r="M945" s="18"/>
      <c r="N945" s="6"/>
      <c r="O945" s="12"/>
      <c r="P945" s="6"/>
      <c r="Q945" s="6"/>
    </row>
    <row r="946" spans="1:17" x14ac:dyDescent="0.25">
      <c r="A946" s="2"/>
      <c r="B946" s="16"/>
      <c r="C946" s="24"/>
      <c r="D946" s="58"/>
      <c r="E946" s="17"/>
      <c r="F946" s="6"/>
      <c r="G946" s="7"/>
      <c r="H946" s="2"/>
      <c r="I946" s="63"/>
      <c r="J946" s="8"/>
      <c r="K946" s="9"/>
      <c r="L946" s="10"/>
      <c r="M946" s="18"/>
      <c r="N946" s="6"/>
      <c r="O946" s="12"/>
      <c r="P946" s="6"/>
      <c r="Q946" s="6"/>
    </row>
    <row r="947" spans="1:17" x14ac:dyDescent="0.25">
      <c r="A947" s="2"/>
      <c r="B947" s="16"/>
      <c r="C947" s="24"/>
      <c r="D947" s="58"/>
      <c r="E947" s="17"/>
      <c r="F947" s="6"/>
      <c r="G947" s="7"/>
      <c r="H947" s="2"/>
      <c r="I947" s="63"/>
      <c r="J947" s="8"/>
      <c r="K947" s="9"/>
      <c r="L947" s="10"/>
      <c r="M947" s="18"/>
      <c r="N947" s="6"/>
      <c r="O947" s="12"/>
      <c r="P947" s="6"/>
      <c r="Q947" s="6"/>
    </row>
    <row r="948" spans="1:17" x14ac:dyDescent="0.25">
      <c r="A948" s="2"/>
      <c r="B948" s="16"/>
      <c r="C948" s="24"/>
      <c r="D948" s="58"/>
      <c r="E948" s="17"/>
      <c r="F948" s="6"/>
      <c r="G948" s="7"/>
      <c r="H948" s="2"/>
      <c r="I948" s="63"/>
      <c r="J948" s="8"/>
      <c r="K948" s="9"/>
      <c r="L948" s="10"/>
      <c r="M948" s="18"/>
      <c r="N948" s="6"/>
      <c r="O948" s="12"/>
      <c r="P948" s="6"/>
      <c r="Q948" s="6"/>
    </row>
    <row r="949" spans="1:17" x14ac:dyDescent="0.25">
      <c r="A949" s="2"/>
      <c r="B949" s="16"/>
      <c r="C949" s="24"/>
      <c r="D949" s="58"/>
      <c r="E949" s="17"/>
      <c r="F949" s="6"/>
      <c r="G949" s="7"/>
      <c r="H949" s="2"/>
      <c r="I949" s="63"/>
      <c r="J949" s="8"/>
      <c r="K949" s="9"/>
      <c r="L949" s="10"/>
      <c r="M949" s="18"/>
      <c r="N949" s="6"/>
      <c r="O949" s="12"/>
      <c r="P949" s="6"/>
      <c r="Q949" s="6"/>
    </row>
    <row r="950" spans="1:17" x14ac:dyDescent="0.25">
      <c r="A950" s="2"/>
      <c r="B950" s="16"/>
      <c r="C950" s="24"/>
      <c r="D950" s="58"/>
      <c r="E950" s="17"/>
      <c r="F950" s="6"/>
      <c r="G950" s="7"/>
      <c r="H950" s="2"/>
      <c r="I950" s="63"/>
      <c r="J950" s="8"/>
      <c r="K950" s="9"/>
      <c r="L950" s="10"/>
      <c r="M950" s="18"/>
      <c r="N950" s="6"/>
      <c r="O950" s="12"/>
      <c r="P950" s="6"/>
      <c r="Q950" s="6"/>
    </row>
    <row r="951" spans="1:17" x14ac:dyDescent="0.25">
      <c r="A951" s="2"/>
      <c r="B951" s="16"/>
      <c r="C951" s="24"/>
      <c r="D951" s="58"/>
      <c r="E951" s="17"/>
      <c r="F951" s="6"/>
      <c r="G951" s="7"/>
      <c r="H951" s="2"/>
      <c r="I951" s="63"/>
      <c r="J951" s="8"/>
      <c r="K951" s="9"/>
      <c r="L951" s="10"/>
      <c r="M951" s="18"/>
      <c r="N951" s="6"/>
      <c r="O951" s="12"/>
      <c r="P951" s="6"/>
      <c r="Q951" s="6"/>
    </row>
    <row r="952" spans="1:17" x14ac:dyDescent="0.25">
      <c r="A952" s="2"/>
      <c r="B952" s="16"/>
      <c r="C952" s="24"/>
      <c r="D952" s="58"/>
      <c r="E952" s="17"/>
      <c r="F952" s="6"/>
      <c r="G952" s="7"/>
      <c r="H952" s="2"/>
      <c r="I952" s="63"/>
      <c r="J952" s="8"/>
      <c r="K952" s="9"/>
      <c r="L952" s="10"/>
      <c r="M952" s="18"/>
      <c r="N952" s="6"/>
      <c r="O952" s="12"/>
      <c r="P952" s="6"/>
      <c r="Q952" s="6"/>
    </row>
    <row r="953" spans="1:17" x14ac:dyDescent="0.25">
      <c r="A953" s="2"/>
      <c r="B953" s="16"/>
      <c r="C953" s="24"/>
      <c r="D953" s="58"/>
      <c r="E953" s="17"/>
      <c r="F953" s="6"/>
      <c r="G953" s="7"/>
      <c r="H953" s="2"/>
      <c r="I953" s="61"/>
      <c r="J953" s="8"/>
      <c r="K953" s="9"/>
      <c r="L953" s="10"/>
      <c r="M953" s="11"/>
      <c r="N953" s="6"/>
      <c r="O953" s="12"/>
      <c r="P953" s="6"/>
      <c r="Q953" s="6"/>
    </row>
    <row r="954" spans="1:17" x14ac:dyDescent="0.25">
      <c r="A954" s="2"/>
      <c r="B954" s="16"/>
      <c r="C954" s="24"/>
      <c r="D954" s="58"/>
      <c r="E954" s="17"/>
      <c r="F954" s="6"/>
      <c r="G954" s="7"/>
      <c r="H954" s="2"/>
      <c r="I954" s="61"/>
      <c r="J954" s="8"/>
      <c r="K954" s="9"/>
      <c r="L954" s="10"/>
      <c r="M954" s="11"/>
      <c r="N954" s="6"/>
      <c r="O954" s="12"/>
      <c r="P954" s="6"/>
      <c r="Q954" s="6"/>
    </row>
    <row r="955" spans="1:17" x14ac:dyDescent="0.25">
      <c r="A955" s="2"/>
      <c r="B955" s="16"/>
      <c r="C955" s="24"/>
      <c r="D955" s="58"/>
      <c r="E955" s="17"/>
      <c r="F955" s="6"/>
      <c r="G955" s="7"/>
      <c r="H955" s="2"/>
      <c r="I955" s="61"/>
      <c r="J955" s="8"/>
      <c r="K955" s="9"/>
      <c r="L955" s="10"/>
      <c r="M955" s="11"/>
      <c r="N955" s="6"/>
      <c r="O955" s="12"/>
      <c r="P955" s="6"/>
      <c r="Q955" s="6"/>
    </row>
    <row r="956" spans="1:17" x14ac:dyDescent="0.25">
      <c r="A956" s="2"/>
      <c r="B956" s="16"/>
      <c r="C956" s="24"/>
      <c r="D956" s="58"/>
      <c r="E956" s="17"/>
      <c r="F956" s="6"/>
      <c r="G956" s="7"/>
      <c r="H956" s="2"/>
      <c r="I956" s="61"/>
      <c r="J956" s="8"/>
      <c r="K956" s="9"/>
      <c r="L956" s="10"/>
      <c r="M956" s="11"/>
      <c r="N956" s="6"/>
      <c r="O956" s="12"/>
      <c r="P956" s="6"/>
      <c r="Q956" s="6"/>
    </row>
    <row r="957" spans="1:17" x14ac:dyDescent="0.25">
      <c r="A957" s="2"/>
      <c r="B957" s="16"/>
      <c r="C957" s="24"/>
      <c r="D957" s="58"/>
      <c r="E957" s="17"/>
      <c r="F957" s="6"/>
      <c r="G957" s="7"/>
      <c r="H957" s="2"/>
      <c r="I957" s="61"/>
      <c r="J957" s="8"/>
      <c r="K957" s="9"/>
      <c r="L957" s="10"/>
      <c r="M957" s="11"/>
      <c r="N957" s="6"/>
      <c r="O957" s="12"/>
      <c r="P957" s="6"/>
      <c r="Q957" s="6"/>
    </row>
    <row r="958" spans="1:17" x14ac:dyDescent="0.25">
      <c r="A958" s="2"/>
      <c r="B958" s="16"/>
      <c r="C958" s="24"/>
      <c r="D958" s="58"/>
      <c r="E958" s="17"/>
      <c r="F958" s="6"/>
      <c r="G958" s="7"/>
      <c r="H958" s="2"/>
      <c r="I958" s="61"/>
      <c r="J958" s="8"/>
      <c r="K958" s="9"/>
      <c r="L958" s="10"/>
      <c r="M958" s="11"/>
      <c r="N958" s="6"/>
      <c r="O958" s="12"/>
      <c r="P958" s="6"/>
      <c r="Q958" s="6"/>
    </row>
    <row r="959" spans="1:17" x14ac:dyDescent="0.25">
      <c r="A959" s="2"/>
      <c r="B959" s="16"/>
      <c r="C959" s="24"/>
      <c r="D959" s="58"/>
      <c r="E959" s="17"/>
      <c r="F959" s="6"/>
      <c r="G959" s="7"/>
      <c r="H959" s="2"/>
      <c r="I959" s="61"/>
      <c r="J959" s="8"/>
      <c r="K959" s="9"/>
      <c r="L959" s="10"/>
      <c r="M959" s="11"/>
      <c r="N959" s="6"/>
      <c r="O959" s="12"/>
      <c r="P959" s="6"/>
      <c r="Q959" s="6"/>
    </row>
    <row r="960" spans="1:17" x14ac:dyDescent="0.25">
      <c r="A960" s="2"/>
      <c r="B960" s="16"/>
      <c r="C960" s="24"/>
      <c r="D960" s="58"/>
      <c r="E960" s="17"/>
      <c r="F960" s="6"/>
      <c r="G960" s="7"/>
      <c r="H960" s="2"/>
      <c r="I960" s="61"/>
      <c r="J960" s="8"/>
      <c r="K960" s="9"/>
      <c r="L960" s="10"/>
      <c r="M960" s="11"/>
      <c r="N960" s="6"/>
      <c r="O960" s="12"/>
      <c r="P960" s="6"/>
      <c r="Q960" s="6"/>
    </row>
    <row r="961" spans="1:17" x14ac:dyDescent="0.25">
      <c r="A961" s="2"/>
      <c r="B961" s="16"/>
      <c r="C961" s="24"/>
      <c r="D961" s="58"/>
      <c r="E961" s="17"/>
      <c r="F961" s="6"/>
      <c r="G961" s="7"/>
      <c r="H961" s="2"/>
      <c r="I961" s="61"/>
      <c r="J961" s="8"/>
      <c r="K961" s="9"/>
      <c r="L961" s="10"/>
      <c r="M961" s="11"/>
      <c r="N961" s="6"/>
      <c r="O961" s="12"/>
      <c r="P961" s="6"/>
      <c r="Q961" s="6"/>
    </row>
    <row r="962" spans="1:17" x14ac:dyDescent="0.25">
      <c r="A962" s="2"/>
      <c r="B962" s="16"/>
      <c r="C962" s="24"/>
      <c r="D962" s="58"/>
      <c r="E962" s="17"/>
      <c r="F962" s="6"/>
      <c r="G962" s="7"/>
      <c r="H962" s="2"/>
      <c r="I962" s="61"/>
      <c r="J962" s="8"/>
      <c r="K962" s="9"/>
      <c r="L962" s="10"/>
      <c r="M962" s="11"/>
      <c r="N962" s="6"/>
      <c r="O962" s="12"/>
      <c r="P962" s="6"/>
      <c r="Q962" s="6"/>
    </row>
    <row r="963" spans="1:17" x14ac:dyDescent="0.25">
      <c r="A963" s="2"/>
      <c r="B963" s="16"/>
      <c r="C963" s="24"/>
      <c r="D963" s="58"/>
      <c r="E963" s="17"/>
      <c r="F963" s="6"/>
      <c r="G963" s="33"/>
      <c r="H963" s="2"/>
      <c r="I963" s="61"/>
      <c r="J963" s="8"/>
      <c r="K963" s="9"/>
      <c r="L963" s="10"/>
      <c r="M963" s="11"/>
      <c r="N963" s="6"/>
      <c r="O963" s="12"/>
      <c r="P963" s="6"/>
      <c r="Q963" s="6"/>
    </row>
    <row r="964" spans="1:17" x14ac:dyDescent="0.25">
      <c r="A964" s="2"/>
      <c r="B964" s="16"/>
      <c r="C964" s="24"/>
      <c r="D964" s="58"/>
      <c r="E964" s="17"/>
      <c r="F964" s="6"/>
      <c r="G964" s="33"/>
      <c r="H964" s="2"/>
      <c r="I964" s="61"/>
      <c r="J964" s="8"/>
      <c r="K964" s="9"/>
      <c r="L964" s="10"/>
      <c r="M964" s="11"/>
      <c r="N964" s="6"/>
      <c r="O964" s="12"/>
      <c r="P964" s="6"/>
      <c r="Q964" s="6"/>
    </row>
    <row r="965" spans="1:17" x14ac:dyDescent="0.25">
      <c r="A965" s="2"/>
      <c r="B965" s="16"/>
      <c r="C965" s="24"/>
      <c r="D965" s="58"/>
      <c r="E965" s="17"/>
      <c r="F965" s="6"/>
      <c r="G965" s="33"/>
      <c r="H965" s="2"/>
      <c r="I965" s="61"/>
      <c r="J965" s="8"/>
      <c r="K965" s="9"/>
      <c r="L965" s="10"/>
      <c r="M965" s="11"/>
      <c r="N965" s="6"/>
      <c r="O965" s="12"/>
      <c r="P965" s="6"/>
      <c r="Q965" s="6"/>
    </row>
    <row r="966" spans="1:17" x14ac:dyDescent="0.25">
      <c r="A966" s="2"/>
      <c r="B966" s="16"/>
      <c r="C966" s="24"/>
      <c r="D966" s="58"/>
      <c r="E966" s="17"/>
      <c r="F966" s="6"/>
      <c r="G966" s="33"/>
      <c r="H966" s="2"/>
      <c r="I966" s="61"/>
      <c r="J966" s="8"/>
      <c r="K966" s="9"/>
      <c r="L966" s="10"/>
      <c r="M966" s="11"/>
      <c r="N966" s="6"/>
      <c r="O966" s="12"/>
      <c r="P966" s="6"/>
      <c r="Q966" s="6"/>
    </row>
    <row r="967" spans="1:17" x14ac:dyDescent="0.25">
      <c r="A967" s="2"/>
      <c r="B967" s="16"/>
      <c r="C967" s="24"/>
      <c r="D967" s="58"/>
      <c r="E967" s="17"/>
      <c r="F967" s="6"/>
      <c r="G967" s="33"/>
      <c r="H967" s="2"/>
      <c r="I967" s="61"/>
      <c r="J967" s="8"/>
      <c r="K967" s="9"/>
      <c r="L967" s="10"/>
      <c r="M967" s="11"/>
      <c r="N967" s="6"/>
      <c r="O967" s="12"/>
      <c r="P967" s="6"/>
      <c r="Q967" s="6"/>
    </row>
    <row r="968" spans="1:17" x14ac:dyDescent="0.25">
      <c r="A968" s="2"/>
      <c r="B968" s="16"/>
      <c r="C968" s="24"/>
      <c r="D968" s="58"/>
      <c r="E968" s="17"/>
      <c r="F968" s="6"/>
      <c r="G968" s="33"/>
      <c r="H968" s="2"/>
      <c r="I968" s="61"/>
      <c r="J968" s="8"/>
      <c r="K968" s="9"/>
      <c r="L968" s="10"/>
      <c r="M968" s="11"/>
      <c r="N968" s="6"/>
      <c r="O968" s="12"/>
      <c r="P968" s="6"/>
      <c r="Q968" s="6"/>
    </row>
    <row r="969" spans="1:17" x14ac:dyDescent="0.25">
      <c r="A969" s="2"/>
      <c r="B969" s="16"/>
      <c r="C969" s="24"/>
      <c r="D969" s="58"/>
      <c r="E969" s="17"/>
      <c r="F969" s="6"/>
      <c r="G969" s="33"/>
      <c r="H969" s="2"/>
      <c r="I969" s="61"/>
      <c r="J969" s="8"/>
      <c r="K969" s="9"/>
      <c r="L969" s="10"/>
      <c r="M969" s="11"/>
      <c r="N969" s="6"/>
      <c r="O969" s="12"/>
      <c r="P969" s="6"/>
      <c r="Q969" s="6"/>
    </row>
    <row r="970" spans="1:17" x14ac:dyDescent="0.25">
      <c r="A970" s="2"/>
      <c r="B970" s="16"/>
      <c r="C970" s="24"/>
      <c r="D970" s="58"/>
      <c r="E970" s="17"/>
      <c r="F970" s="6"/>
      <c r="G970" s="33"/>
      <c r="H970" s="2"/>
      <c r="I970" s="61"/>
      <c r="J970" s="8"/>
      <c r="K970" s="9"/>
      <c r="L970" s="10"/>
      <c r="M970" s="11"/>
      <c r="N970" s="6"/>
      <c r="O970" s="12"/>
      <c r="P970" s="6"/>
      <c r="Q970" s="6"/>
    </row>
    <row r="971" spans="1:17" x14ac:dyDescent="0.25">
      <c r="A971" s="2"/>
      <c r="B971" s="16"/>
      <c r="C971" s="24"/>
      <c r="D971" s="58"/>
      <c r="E971" s="17"/>
      <c r="F971" s="6"/>
      <c r="G971" s="33"/>
      <c r="H971" s="2"/>
      <c r="I971" s="61"/>
      <c r="J971" s="8"/>
      <c r="K971" s="9"/>
      <c r="L971" s="10"/>
      <c r="M971" s="11"/>
      <c r="N971" s="6"/>
      <c r="O971" s="12"/>
      <c r="P971" s="6"/>
      <c r="Q971" s="6"/>
    </row>
    <row r="972" spans="1:17" ht="16.5" customHeight="1" x14ac:dyDescent="0.25">
      <c r="A972" s="2"/>
      <c r="C972" s="24"/>
      <c r="D972" s="58"/>
      <c r="E972" s="17"/>
      <c r="F972" s="6"/>
      <c r="G972" s="33"/>
      <c r="H972" s="2"/>
      <c r="I972" s="61"/>
      <c r="J972" s="8"/>
      <c r="K972" s="9"/>
      <c r="L972" s="10"/>
      <c r="M972" s="11"/>
      <c r="N972" s="6"/>
      <c r="O972" s="12"/>
      <c r="P972" s="6"/>
      <c r="Q972" s="6"/>
    </row>
    <row r="973" spans="1:17" ht="12.75" customHeight="1" x14ac:dyDescent="0.25"/>
  </sheetData>
  <phoneticPr fontId="54" type="noConversion"/>
  <dataValidations count="1">
    <dataValidation type="list" allowBlank="1" showInputMessage="1" showErrorMessage="1" sqref="R1:R631" xr:uid="{9FB4CE69-70CC-4CD8-B775-FA4A699EB3C3}">
      <formula1>"Informações falsas, Desmatamento,Outorga,Licenciamento"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01"/>
  <sheetViews>
    <sheetView workbookViewId="0"/>
  </sheetViews>
  <sheetFormatPr defaultRowHeight="15" x14ac:dyDescent="0.25"/>
  <cols>
    <col min="1" max="1" width="10" customWidth="1"/>
    <col min="2" max="2" width="60" customWidth="1"/>
    <col min="3" max="3" width="30" customWidth="1"/>
    <col min="4" max="4" width="20" customWidth="1"/>
  </cols>
  <sheetData>
    <row r="1" spans="1:4" x14ac:dyDescent="0.25">
      <c r="A1" t="s">
        <v>1130</v>
      </c>
      <c r="B1" t="s">
        <v>1131</v>
      </c>
      <c r="C1" t="s">
        <v>1132</v>
      </c>
      <c r="D1" t="s">
        <v>1133</v>
      </c>
    </row>
    <row r="4" spans="1:4" x14ac:dyDescent="0.25">
      <c r="A4" t="s">
        <v>1134</v>
      </c>
      <c r="B4" t="s">
        <v>1135</v>
      </c>
      <c r="C4" t="s">
        <v>1132</v>
      </c>
      <c r="D4" t="s">
        <v>1133</v>
      </c>
    </row>
    <row r="7" spans="1:4" x14ac:dyDescent="0.25">
      <c r="A7" t="s">
        <v>1136</v>
      </c>
      <c r="B7" t="s">
        <v>1137</v>
      </c>
      <c r="C7" t="s">
        <v>1132</v>
      </c>
      <c r="D7" t="s">
        <v>1133</v>
      </c>
    </row>
    <row r="10" spans="1:4" x14ac:dyDescent="0.25">
      <c r="A10" t="s">
        <v>1138</v>
      </c>
      <c r="B10" t="s">
        <v>1139</v>
      </c>
      <c r="C10" t="s">
        <v>1132</v>
      </c>
      <c r="D10" t="s">
        <v>1140</v>
      </c>
    </row>
    <row r="13" spans="1:4" x14ac:dyDescent="0.25">
      <c r="A13" t="s">
        <v>1141</v>
      </c>
      <c r="B13" t="s">
        <v>1142</v>
      </c>
      <c r="C13" t="s">
        <v>1132</v>
      </c>
      <c r="D13" t="s">
        <v>1140</v>
      </c>
    </row>
    <row r="16" spans="1:4" x14ac:dyDescent="0.25">
      <c r="A16" t="s">
        <v>1143</v>
      </c>
      <c r="B16" t="s">
        <v>1144</v>
      </c>
      <c r="C16" t="s">
        <v>1132</v>
      </c>
      <c r="D16" t="s">
        <v>1140</v>
      </c>
    </row>
    <row r="19" spans="1:4" x14ac:dyDescent="0.25">
      <c r="A19" t="s">
        <v>1145</v>
      </c>
      <c r="B19" t="s">
        <v>1146</v>
      </c>
      <c r="C19" t="s">
        <v>1132</v>
      </c>
      <c r="D19" t="s">
        <v>1147</v>
      </c>
    </row>
    <row r="22" spans="1:4" x14ac:dyDescent="0.25">
      <c r="A22" t="s">
        <v>1148</v>
      </c>
      <c r="B22" t="s">
        <v>1149</v>
      </c>
      <c r="C22" t="s">
        <v>1132</v>
      </c>
      <c r="D22" t="s">
        <v>1147</v>
      </c>
    </row>
    <row r="25" spans="1:4" x14ac:dyDescent="0.25">
      <c r="A25" t="s">
        <v>1150</v>
      </c>
      <c r="B25" t="s">
        <v>1151</v>
      </c>
      <c r="C25" t="s">
        <v>1132</v>
      </c>
      <c r="D25" t="s">
        <v>1147</v>
      </c>
    </row>
    <row r="28" spans="1:4" x14ac:dyDescent="0.25">
      <c r="A28" t="s">
        <v>1152</v>
      </c>
      <c r="B28" t="s">
        <v>1153</v>
      </c>
      <c r="C28" t="s">
        <v>1132</v>
      </c>
      <c r="D28" t="s">
        <v>1154</v>
      </c>
    </row>
    <row r="31" spans="1:4" x14ac:dyDescent="0.25">
      <c r="A31" t="s">
        <v>1155</v>
      </c>
      <c r="B31" t="s">
        <v>1156</v>
      </c>
      <c r="C31" t="s">
        <v>1132</v>
      </c>
      <c r="D31" t="s">
        <v>1154</v>
      </c>
    </row>
    <row r="34" spans="1:4" x14ac:dyDescent="0.25">
      <c r="A34" t="s">
        <v>1157</v>
      </c>
      <c r="B34" t="s">
        <v>1158</v>
      </c>
      <c r="C34" t="s">
        <v>1132</v>
      </c>
      <c r="D34" t="s">
        <v>1154</v>
      </c>
    </row>
    <row r="37" spans="1:4" x14ac:dyDescent="0.25">
      <c r="A37" t="s">
        <v>1159</v>
      </c>
      <c r="B37" t="s">
        <v>1160</v>
      </c>
      <c r="C37" t="s">
        <v>1132</v>
      </c>
      <c r="D37" t="s">
        <v>1161</v>
      </c>
    </row>
    <row r="40" spans="1:4" x14ac:dyDescent="0.25">
      <c r="A40" t="s">
        <v>1162</v>
      </c>
      <c r="B40" t="s">
        <v>1163</v>
      </c>
      <c r="C40" t="s">
        <v>1132</v>
      </c>
      <c r="D40" t="s">
        <v>1161</v>
      </c>
    </row>
    <row r="43" spans="1:4" x14ac:dyDescent="0.25">
      <c r="A43" t="s">
        <v>1164</v>
      </c>
      <c r="B43" t="s">
        <v>1165</v>
      </c>
      <c r="C43" t="s">
        <v>1132</v>
      </c>
      <c r="D43" t="s">
        <v>1161</v>
      </c>
    </row>
    <row r="46" spans="1:4" x14ac:dyDescent="0.25">
      <c r="A46" t="s">
        <v>1166</v>
      </c>
      <c r="B46" t="s">
        <v>1167</v>
      </c>
      <c r="C46" t="s">
        <v>1132</v>
      </c>
      <c r="D46" t="s">
        <v>1168</v>
      </c>
    </row>
    <row r="49" spans="1:4" x14ac:dyDescent="0.25">
      <c r="A49" t="s">
        <v>1169</v>
      </c>
      <c r="B49" t="s">
        <v>1170</v>
      </c>
      <c r="C49" t="s">
        <v>1132</v>
      </c>
      <c r="D49" t="s">
        <v>1168</v>
      </c>
    </row>
    <row r="52" spans="1:4" x14ac:dyDescent="0.25">
      <c r="A52" t="s">
        <v>1171</v>
      </c>
      <c r="B52" t="s">
        <v>1172</v>
      </c>
      <c r="C52" t="s">
        <v>1132</v>
      </c>
      <c r="D52" t="s">
        <v>1168</v>
      </c>
    </row>
    <row r="55" spans="1:4" x14ac:dyDescent="0.25">
      <c r="A55" t="s">
        <v>1173</v>
      </c>
      <c r="B55" t="s">
        <v>1174</v>
      </c>
      <c r="C55" t="s">
        <v>1132</v>
      </c>
      <c r="D55" t="s">
        <v>1175</v>
      </c>
    </row>
    <row r="58" spans="1:4" x14ac:dyDescent="0.25">
      <c r="A58" t="s">
        <v>1176</v>
      </c>
      <c r="B58" t="s">
        <v>1177</v>
      </c>
      <c r="C58" t="s">
        <v>1132</v>
      </c>
      <c r="D58" t="s">
        <v>1175</v>
      </c>
    </row>
    <row r="61" spans="1:4" x14ac:dyDescent="0.25">
      <c r="A61" t="s">
        <v>1178</v>
      </c>
      <c r="B61" t="s">
        <v>1179</v>
      </c>
      <c r="C61" t="s">
        <v>1132</v>
      </c>
      <c r="D61" t="s">
        <v>1175</v>
      </c>
    </row>
    <row r="64" spans="1:4" x14ac:dyDescent="0.25">
      <c r="A64" t="s">
        <v>1180</v>
      </c>
      <c r="B64" t="s">
        <v>1181</v>
      </c>
      <c r="C64" t="s">
        <v>1182</v>
      </c>
      <c r="D64" t="s">
        <v>1183</v>
      </c>
    </row>
    <row r="65" spans="1:4" x14ac:dyDescent="0.25">
      <c r="B65" t="s">
        <v>1184</v>
      </c>
      <c r="C65" t="s">
        <v>1132</v>
      </c>
      <c r="D65" t="s">
        <v>1185</v>
      </c>
    </row>
    <row r="68" spans="1:4" x14ac:dyDescent="0.25">
      <c r="A68" t="s">
        <v>1180</v>
      </c>
      <c r="B68" t="s">
        <v>1186</v>
      </c>
      <c r="C68" t="s">
        <v>1132</v>
      </c>
      <c r="D68" t="s">
        <v>1185</v>
      </c>
    </row>
    <row r="71" spans="1:4" x14ac:dyDescent="0.25">
      <c r="A71" t="s">
        <v>1187</v>
      </c>
      <c r="B71" t="s">
        <v>1188</v>
      </c>
      <c r="C71" t="s">
        <v>1132</v>
      </c>
      <c r="D71" t="s">
        <v>1185</v>
      </c>
    </row>
    <row r="74" spans="1:4" x14ac:dyDescent="0.25">
      <c r="A74" t="s">
        <v>1189</v>
      </c>
      <c r="B74" t="s">
        <v>1190</v>
      </c>
      <c r="C74" t="s">
        <v>1132</v>
      </c>
      <c r="D74" t="s">
        <v>1191</v>
      </c>
    </row>
    <row r="77" spans="1:4" x14ac:dyDescent="0.25">
      <c r="A77" t="s">
        <v>1192</v>
      </c>
      <c r="B77" t="s">
        <v>1193</v>
      </c>
      <c r="C77" t="s">
        <v>1132</v>
      </c>
      <c r="D77" t="s">
        <v>1194</v>
      </c>
    </row>
    <row r="80" spans="1:4" x14ac:dyDescent="0.25">
      <c r="A80" t="s">
        <v>1195</v>
      </c>
      <c r="B80" t="s">
        <v>1196</v>
      </c>
      <c r="C80" t="s">
        <v>1132</v>
      </c>
      <c r="D80" t="s">
        <v>1194</v>
      </c>
    </row>
    <row r="83" spans="1:4" x14ac:dyDescent="0.25">
      <c r="A83" t="s">
        <v>1197</v>
      </c>
      <c r="B83" t="s">
        <v>1198</v>
      </c>
      <c r="C83" t="s">
        <v>1132</v>
      </c>
      <c r="D83" t="s">
        <v>1199</v>
      </c>
    </row>
    <row r="86" spans="1:4" x14ac:dyDescent="0.25">
      <c r="A86" t="s">
        <v>1200</v>
      </c>
      <c r="B86" t="s">
        <v>1201</v>
      </c>
      <c r="C86" t="s">
        <v>1132</v>
      </c>
      <c r="D86" t="s">
        <v>1199</v>
      </c>
    </row>
    <row r="89" spans="1:4" x14ac:dyDescent="0.25">
      <c r="A89" t="s">
        <v>1202</v>
      </c>
      <c r="B89" t="s">
        <v>1203</v>
      </c>
      <c r="C89" t="s">
        <v>1132</v>
      </c>
      <c r="D89" t="s">
        <v>1199</v>
      </c>
    </row>
    <row r="92" spans="1:4" x14ac:dyDescent="0.25">
      <c r="A92" t="s">
        <v>1204</v>
      </c>
      <c r="B92" t="s">
        <v>1205</v>
      </c>
      <c r="C92" t="s">
        <v>1132</v>
      </c>
      <c r="D92" t="s">
        <v>1206</v>
      </c>
    </row>
    <row r="95" spans="1:4" x14ac:dyDescent="0.25">
      <c r="A95" t="s">
        <v>1207</v>
      </c>
      <c r="B95" t="s">
        <v>1208</v>
      </c>
      <c r="C95" t="s">
        <v>1132</v>
      </c>
      <c r="D95" t="s">
        <v>1206</v>
      </c>
    </row>
    <row r="98" spans="1:4" x14ac:dyDescent="0.25">
      <c r="A98" t="s">
        <v>1209</v>
      </c>
      <c r="B98" t="s">
        <v>1210</v>
      </c>
      <c r="C98" t="s">
        <v>1132</v>
      </c>
      <c r="D98" t="s">
        <v>1206</v>
      </c>
    </row>
    <row r="101" spans="1:4" x14ac:dyDescent="0.25">
      <c r="A101" t="s">
        <v>1211</v>
      </c>
      <c r="B101" t="s">
        <v>1212</v>
      </c>
      <c r="C101" t="s">
        <v>1132</v>
      </c>
      <c r="D101" t="s">
        <v>1213</v>
      </c>
    </row>
    <row r="104" spans="1:4" x14ac:dyDescent="0.25">
      <c r="A104" t="s">
        <v>1214</v>
      </c>
      <c r="B104" t="s">
        <v>1215</v>
      </c>
      <c r="C104" t="s">
        <v>1132</v>
      </c>
      <c r="D104" t="s">
        <v>1213</v>
      </c>
    </row>
    <row r="107" spans="1:4" x14ac:dyDescent="0.25">
      <c r="A107" t="s">
        <v>1216</v>
      </c>
      <c r="B107" t="s">
        <v>1217</v>
      </c>
      <c r="C107" t="s">
        <v>1132</v>
      </c>
      <c r="D107" t="s">
        <v>1213</v>
      </c>
    </row>
    <row r="110" spans="1:4" x14ac:dyDescent="0.25">
      <c r="A110" t="s">
        <v>1218</v>
      </c>
      <c r="B110" t="s">
        <v>1219</v>
      </c>
      <c r="C110" t="s">
        <v>1132</v>
      </c>
      <c r="D110" t="s">
        <v>1220</v>
      </c>
    </row>
    <row r="113" spans="1:4" x14ac:dyDescent="0.25">
      <c r="A113" t="s">
        <v>1221</v>
      </c>
      <c r="B113" t="s">
        <v>1222</v>
      </c>
      <c r="C113" t="s">
        <v>1132</v>
      </c>
      <c r="D113" t="s">
        <v>1220</v>
      </c>
    </row>
    <row r="116" spans="1:4" x14ac:dyDescent="0.25">
      <c r="A116" t="s">
        <v>1223</v>
      </c>
      <c r="B116" t="s">
        <v>1224</v>
      </c>
      <c r="C116" t="s">
        <v>1132</v>
      </c>
      <c r="D116" t="s">
        <v>1225</v>
      </c>
    </row>
    <row r="119" spans="1:4" x14ac:dyDescent="0.25">
      <c r="A119" t="s">
        <v>1226</v>
      </c>
      <c r="B119" t="s">
        <v>1227</v>
      </c>
      <c r="C119" t="s">
        <v>1132</v>
      </c>
      <c r="D119" t="s">
        <v>1228</v>
      </c>
    </row>
    <row r="122" spans="1:4" x14ac:dyDescent="0.25">
      <c r="A122" t="s">
        <v>1229</v>
      </c>
      <c r="B122" t="s">
        <v>1230</v>
      </c>
      <c r="C122" t="s">
        <v>1132</v>
      </c>
      <c r="D122" t="s">
        <v>1231</v>
      </c>
    </row>
    <row r="125" spans="1:4" x14ac:dyDescent="0.25">
      <c r="A125" t="s">
        <v>1232</v>
      </c>
      <c r="B125" t="s">
        <v>1233</v>
      </c>
      <c r="C125" t="s">
        <v>1132</v>
      </c>
      <c r="D125" t="s">
        <v>1234</v>
      </c>
    </row>
    <row r="128" spans="1:4" x14ac:dyDescent="0.25">
      <c r="A128" t="s">
        <v>1235</v>
      </c>
      <c r="B128" t="s">
        <v>1236</v>
      </c>
      <c r="C128" t="s">
        <v>1132</v>
      </c>
      <c r="D128" t="s">
        <v>1237</v>
      </c>
    </row>
    <row r="131" spans="1:4" x14ac:dyDescent="0.25">
      <c r="A131" t="s">
        <v>1238</v>
      </c>
      <c r="B131" t="s">
        <v>1239</v>
      </c>
      <c r="C131" t="s">
        <v>1132</v>
      </c>
      <c r="D131" t="s">
        <v>1237</v>
      </c>
    </row>
    <row r="134" spans="1:4" x14ac:dyDescent="0.25">
      <c r="A134" t="s">
        <v>1240</v>
      </c>
      <c r="B134" t="s">
        <v>1241</v>
      </c>
      <c r="C134" t="s">
        <v>1132</v>
      </c>
      <c r="D134" t="s">
        <v>1237</v>
      </c>
    </row>
    <row r="137" spans="1:4" x14ac:dyDescent="0.25">
      <c r="A137" t="s">
        <v>1242</v>
      </c>
      <c r="B137" t="s">
        <v>1243</v>
      </c>
      <c r="C137" t="s">
        <v>1132</v>
      </c>
      <c r="D137" t="s">
        <v>1244</v>
      </c>
    </row>
    <row r="140" spans="1:4" x14ac:dyDescent="0.25">
      <c r="A140" t="s">
        <v>1245</v>
      </c>
      <c r="B140" t="s">
        <v>1246</v>
      </c>
      <c r="C140" t="s">
        <v>1132</v>
      </c>
      <c r="D140" t="s">
        <v>1244</v>
      </c>
    </row>
    <row r="143" spans="1:4" x14ac:dyDescent="0.25">
      <c r="A143" t="s">
        <v>1247</v>
      </c>
      <c r="B143" t="s">
        <v>1248</v>
      </c>
      <c r="C143" t="s">
        <v>1132</v>
      </c>
      <c r="D143" t="s">
        <v>1244</v>
      </c>
    </row>
    <row r="146" spans="1:4" x14ac:dyDescent="0.25">
      <c r="A146" t="s">
        <v>1249</v>
      </c>
      <c r="B146" t="s">
        <v>1250</v>
      </c>
      <c r="C146" t="s">
        <v>1132</v>
      </c>
      <c r="D146" t="s">
        <v>1244</v>
      </c>
    </row>
    <row r="149" spans="1:4" x14ac:dyDescent="0.25">
      <c r="A149" t="s">
        <v>1251</v>
      </c>
      <c r="B149" t="s">
        <v>1252</v>
      </c>
      <c r="C149" t="s">
        <v>1132</v>
      </c>
      <c r="D149" t="s">
        <v>1244</v>
      </c>
    </row>
    <row r="152" spans="1:4" x14ac:dyDescent="0.25">
      <c r="A152" t="s">
        <v>1253</v>
      </c>
      <c r="B152" t="s">
        <v>1254</v>
      </c>
      <c r="C152" t="s">
        <v>1132</v>
      </c>
      <c r="D152" t="s">
        <v>1244</v>
      </c>
    </row>
    <row r="155" spans="1:4" x14ac:dyDescent="0.25">
      <c r="A155" t="s">
        <v>1255</v>
      </c>
      <c r="B155" t="s">
        <v>1256</v>
      </c>
      <c r="C155" t="s">
        <v>1132</v>
      </c>
      <c r="D155" t="s">
        <v>1244</v>
      </c>
    </row>
    <row r="158" spans="1:4" x14ac:dyDescent="0.25">
      <c r="A158" t="s">
        <v>1257</v>
      </c>
      <c r="B158" t="s">
        <v>1258</v>
      </c>
      <c r="C158" t="s">
        <v>1132</v>
      </c>
      <c r="D158" t="s">
        <v>1259</v>
      </c>
    </row>
    <row r="161" spans="1:4" x14ac:dyDescent="0.25">
      <c r="A161" t="s">
        <v>1260</v>
      </c>
      <c r="B161" t="s">
        <v>1261</v>
      </c>
      <c r="C161" t="s">
        <v>1132</v>
      </c>
      <c r="D161" t="s">
        <v>1259</v>
      </c>
    </row>
    <row r="164" spans="1:4" x14ac:dyDescent="0.25">
      <c r="A164" t="s">
        <v>1262</v>
      </c>
      <c r="B164" t="s">
        <v>1263</v>
      </c>
      <c r="C164" t="s">
        <v>1132</v>
      </c>
      <c r="D164" t="s">
        <v>1259</v>
      </c>
    </row>
    <row r="167" spans="1:4" x14ac:dyDescent="0.25">
      <c r="A167" t="s">
        <v>1264</v>
      </c>
      <c r="B167" t="s">
        <v>1265</v>
      </c>
      <c r="C167" t="s">
        <v>1132</v>
      </c>
      <c r="D167" t="s">
        <v>1259</v>
      </c>
    </row>
    <row r="170" spans="1:4" x14ac:dyDescent="0.25">
      <c r="A170" t="s">
        <v>1266</v>
      </c>
      <c r="B170" t="s">
        <v>1267</v>
      </c>
      <c r="C170" t="s">
        <v>1132</v>
      </c>
      <c r="D170" t="s">
        <v>1259</v>
      </c>
    </row>
    <row r="173" spans="1:4" x14ac:dyDescent="0.25">
      <c r="A173" t="s">
        <v>1268</v>
      </c>
      <c r="B173" t="s">
        <v>1269</v>
      </c>
      <c r="C173" t="s">
        <v>1132</v>
      </c>
      <c r="D173" t="s">
        <v>1259</v>
      </c>
    </row>
    <row r="176" spans="1:4" x14ac:dyDescent="0.25">
      <c r="A176" t="s">
        <v>1270</v>
      </c>
      <c r="B176" t="s">
        <v>1271</v>
      </c>
      <c r="C176" t="s">
        <v>1132</v>
      </c>
      <c r="D176" t="s">
        <v>1272</v>
      </c>
    </row>
    <row r="179" spans="1:4" x14ac:dyDescent="0.25">
      <c r="A179" t="s">
        <v>1273</v>
      </c>
      <c r="B179" t="s">
        <v>1274</v>
      </c>
      <c r="C179" t="s">
        <v>1132</v>
      </c>
      <c r="D179" t="s">
        <v>1272</v>
      </c>
    </row>
    <row r="182" spans="1:4" x14ac:dyDescent="0.25">
      <c r="A182" t="s">
        <v>1275</v>
      </c>
      <c r="B182" t="s">
        <v>1276</v>
      </c>
      <c r="C182" t="s">
        <v>1132</v>
      </c>
      <c r="D182" t="s">
        <v>1272</v>
      </c>
    </row>
    <row r="185" spans="1:4" x14ac:dyDescent="0.25">
      <c r="A185" t="s">
        <v>1277</v>
      </c>
      <c r="B185" t="s">
        <v>1278</v>
      </c>
      <c r="C185" t="s">
        <v>1132</v>
      </c>
      <c r="D185" t="s">
        <v>1272</v>
      </c>
    </row>
    <row r="188" spans="1:4" x14ac:dyDescent="0.25">
      <c r="A188" t="s">
        <v>1279</v>
      </c>
      <c r="B188" t="s">
        <v>1280</v>
      </c>
      <c r="C188" t="s">
        <v>1132</v>
      </c>
      <c r="D188" t="s">
        <v>1272</v>
      </c>
    </row>
    <row r="191" spans="1:4" x14ac:dyDescent="0.25">
      <c r="A191" t="s">
        <v>1281</v>
      </c>
      <c r="B191" t="s">
        <v>1282</v>
      </c>
      <c r="C191" t="s">
        <v>1132</v>
      </c>
      <c r="D191" t="s">
        <v>1272</v>
      </c>
    </row>
    <row r="194" spans="1:4" x14ac:dyDescent="0.25">
      <c r="A194" t="s">
        <v>1283</v>
      </c>
      <c r="B194" t="s">
        <v>1284</v>
      </c>
      <c r="C194" t="s">
        <v>1132</v>
      </c>
      <c r="D194" t="s">
        <v>1285</v>
      </c>
    </row>
    <row r="197" spans="1:4" x14ac:dyDescent="0.25">
      <c r="A197" t="s">
        <v>1286</v>
      </c>
      <c r="B197" t="s">
        <v>1287</v>
      </c>
      <c r="C197" t="s">
        <v>1132</v>
      </c>
      <c r="D197" t="s">
        <v>1288</v>
      </c>
    </row>
    <row r="200" spans="1:4" x14ac:dyDescent="0.25">
      <c r="A200" t="s">
        <v>1289</v>
      </c>
      <c r="B200" t="s">
        <v>1290</v>
      </c>
      <c r="C200" t="s">
        <v>1132</v>
      </c>
      <c r="D200" t="s">
        <v>1288</v>
      </c>
    </row>
    <row r="203" spans="1:4" x14ac:dyDescent="0.25">
      <c r="A203" t="s">
        <v>1291</v>
      </c>
      <c r="B203" t="s">
        <v>1292</v>
      </c>
      <c r="C203" t="s">
        <v>1132</v>
      </c>
      <c r="D203" t="s">
        <v>1288</v>
      </c>
    </row>
    <row r="206" spans="1:4" x14ac:dyDescent="0.25">
      <c r="A206" t="s">
        <v>1293</v>
      </c>
      <c r="B206" t="s">
        <v>1294</v>
      </c>
      <c r="C206" t="s">
        <v>1132</v>
      </c>
      <c r="D206" t="s">
        <v>1288</v>
      </c>
    </row>
    <row r="209" spans="1:4" x14ac:dyDescent="0.25">
      <c r="A209" t="s">
        <v>1295</v>
      </c>
      <c r="B209" t="s">
        <v>1296</v>
      </c>
      <c r="C209" t="s">
        <v>1132</v>
      </c>
      <c r="D209" t="s">
        <v>1288</v>
      </c>
    </row>
    <row r="212" spans="1:4" x14ac:dyDescent="0.25">
      <c r="A212" t="s">
        <v>1297</v>
      </c>
      <c r="B212" t="s">
        <v>1298</v>
      </c>
      <c r="C212" t="s">
        <v>1132</v>
      </c>
      <c r="D212" t="s">
        <v>1299</v>
      </c>
    </row>
    <row r="215" spans="1:4" x14ac:dyDescent="0.25">
      <c r="A215" t="s">
        <v>1300</v>
      </c>
      <c r="B215" t="s">
        <v>1301</v>
      </c>
      <c r="C215" t="s">
        <v>1132</v>
      </c>
      <c r="D215" t="s">
        <v>1299</v>
      </c>
    </row>
    <row r="218" spans="1:4" x14ac:dyDescent="0.25">
      <c r="A218" t="s">
        <v>1302</v>
      </c>
      <c r="B218" t="s">
        <v>1303</v>
      </c>
      <c r="C218" t="s">
        <v>1132</v>
      </c>
      <c r="D218" t="s">
        <v>1304</v>
      </c>
    </row>
    <row r="221" spans="1:4" x14ac:dyDescent="0.25">
      <c r="A221" t="s">
        <v>1305</v>
      </c>
      <c r="B221" t="s">
        <v>1306</v>
      </c>
      <c r="C221" t="s">
        <v>1132</v>
      </c>
      <c r="D221" t="s">
        <v>1307</v>
      </c>
    </row>
    <row r="224" spans="1:4" x14ac:dyDescent="0.25">
      <c r="A224" t="s">
        <v>1308</v>
      </c>
      <c r="B224" t="s">
        <v>1309</v>
      </c>
      <c r="C224" t="s">
        <v>1132</v>
      </c>
      <c r="D224" t="s">
        <v>1307</v>
      </c>
    </row>
    <row r="227" spans="1:4" x14ac:dyDescent="0.25">
      <c r="A227" t="s">
        <v>1310</v>
      </c>
      <c r="B227" t="s">
        <v>1311</v>
      </c>
      <c r="C227" t="s">
        <v>1132</v>
      </c>
      <c r="D227" t="s">
        <v>1307</v>
      </c>
    </row>
    <row r="230" spans="1:4" x14ac:dyDescent="0.25">
      <c r="A230" t="s">
        <v>1312</v>
      </c>
      <c r="B230" t="s">
        <v>1313</v>
      </c>
      <c r="C230" t="s">
        <v>1132</v>
      </c>
      <c r="D230" t="s">
        <v>1314</v>
      </c>
    </row>
    <row r="233" spans="1:4" x14ac:dyDescent="0.25">
      <c r="A233" t="s">
        <v>1315</v>
      </c>
      <c r="B233" t="s">
        <v>1316</v>
      </c>
      <c r="C233" t="s">
        <v>1132</v>
      </c>
      <c r="D233" t="s">
        <v>1314</v>
      </c>
    </row>
    <row r="236" spans="1:4" x14ac:dyDescent="0.25">
      <c r="A236" t="s">
        <v>1317</v>
      </c>
      <c r="B236" t="s">
        <v>1318</v>
      </c>
      <c r="C236" t="s">
        <v>1132</v>
      </c>
      <c r="D236" t="s">
        <v>1319</v>
      </c>
    </row>
    <row r="239" spans="1:4" x14ac:dyDescent="0.25">
      <c r="A239" t="s">
        <v>1320</v>
      </c>
      <c r="B239" t="s">
        <v>1321</v>
      </c>
      <c r="C239" t="s">
        <v>1132</v>
      </c>
      <c r="D239" t="s">
        <v>1319</v>
      </c>
    </row>
    <row r="242" spans="1:4" x14ac:dyDescent="0.25">
      <c r="A242" t="s">
        <v>1322</v>
      </c>
      <c r="B242" t="s">
        <v>1323</v>
      </c>
      <c r="C242" t="s">
        <v>1132</v>
      </c>
      <c r="D242" t="s">
        <v>1319</v>
      </c>
    </row>
    <row r="245" spans="1:4" x14ac:dyDescent="0.25">
      <c r="A245" t="s">
        <v>1324</v>
      </c>
      <c r="B245" t="s">
        <v>1325</v>
      </c>
      <c r="C245" t="s">
        <v>1132</v>
      </c>
      <c r="D245" t="s">
        <v>1326</v>
      </c>
    </row>
    <row r="248" spans="1:4" x14ac:dyDescent="0.25">
      <c r="A248" t="s">
        <v>1327</v>
      </c>
      <c r="B248" t="s">
        <v>1328</v>
      </c>
      <c r="C248" t="s">
        <v>1132</v>
      </c>
      <c r="D248" t="s">
        <v>1326</v>
      </c>
    </row>
    <row r="251" spans="1:4" x14ac:dyDescent="0.25">
      <c r="A251" t="s">
        <v>1329</v>
      </c>
      <c r="B251" t="s">
        <v>1330</v>
      </c>
      <c r="C251" t="s">
        <v>1132</v>
      </c>
      <c r="D251" t="s">
        <v>1331</v>
      </c>
    </row>
    <row r="254" spans="1:4" x14ac:dyDescent="0.25">
      <c r="A254" t="s">
        <v>1332</v>
      </c>
      <c r="B254" t="s">
        <v>1333</v>
      </c>
      <c r="C254" t="s">
        <v>1132</v>
      </c>
      <c r="D254" t="s">
        <v>1334</v>
      </c>
    </row>
    <row r="257" spans="1:4" x14ac:dyDescent="0.25">
      <c r="A257" t="s">
        <v>1335</v>
      </c>
      <c r="B257" t="s">
        <v>1336</v>
      </c>
      <c r="C257" t="s">
        <v>1132</v>
      </c>
      <c r="D257" t="s">
        <v>1337</v>
      </c>
    </row>
    <row r="260" spans="1:4" x14ac:dyDescent="0.25">
      <c r="A260" t="s">
        <v>1338</v>
      </c>
      <c r="B260" t="s">
        <v>1339</v>
      </c>
      <c r="C260" t="s">
        <v>1132</v>
      </c>
      <c r="D260" t="s">
        <v>1340</v>
      </c>
    </row>
    <row r="263" spans="1:4" x14ac:dyDescent="0.25">
      <c r="A263" t="s">
        <v>1341</v>
      </c>
      <c r="B263" t="s">
        <v>1342</v>
      </c>
      <c r="C263" t="s">
        <v>1132</v>
      </c>
      <c r="D263" t="s">
        <v>1340</v>
      </c>
    </row>
    <row r="266" spans="1:4" x14ac:dyDescent="0.25">
      <c r="A266" t="s">
        <v>1343</v>
      </c>
      <c r="B266" t="s">
        <v>1344</v>
      </c>
      <c r="C266" t="s">
        <v>1132</v>
      </c>
      <c r="D266" t="s">
        <v>1345</v>
      </c>
    </row>
    <row r="269" spans="1:4" x14ac:dyDescent="0.25">
      <c r="A269" t="s">
        <v>1346</v>
      </c>
      <c r="B269" t="s">
        <v>1347</v>
      </c>
      <c r="C269" t="s">
        <v>1132</v>
      </c>
      <c r="D269" t="s">
        <v>1348</v>
      </c>
    </row>
    <row r="272" spans="1:4" x14ac:dyDescent="0.25">
      <c r="A272" t="s">
        <v>1349</v>
      </c>
      <c r="B272" t="s">
        <v>1350</v>
      </c>
      <c r="C272" t="s">
        <v>1132</v>
      </c>
      <c r="D272" t="s">
        <v>1351</v>
      </c>
    </row>
    <row r="275" spans="1:4" x14ac:dyDescent="0.25">
      <c r="A275" t="s">
        <v>1352</v>
      </c>
      <c r="B275" t="s">
        <v>1353</v>
      </c>
      <c r="C275" t="s">
        <v>1132</v>
      </c>
      <c r="D275" t="s">
        <v>1351</v>
      </c>
    </row>
    <row r="278" spans="1:4" x14ac:dyDescent="0.25">
      <c r="A278" t="s">
        <v>1354</v>
      </c>
      <c r="B278" t="s">
        <v>1355</v>
      </c>
      <c r="C278" t="s">
        <v>1132</v>
      </c>
      <c r="D278" t="s">
        <v>1356</v>
      </c>
    </row>
    <row r="281" spans="1:4" x14ac:dyDescent="0.25">
      <c r="A281" t="s">
        <v>1357</v>
      </c>
      <c r="B281" t="s">
        <v>1358</v>
      </c>
      <c r="C281" t="s">
        <v>1132</v>
      </c>
      <c r="D281" t="s">
        <v>1359</v>
      </c>
    </row>
    <row r="284" spans="1:4" x14ac:dyDescent="0.25">
      <c r="A284" t="s">
        <v>1360</v>
      </c>
      <c r="B284" t="s">
        <v>1361</v>
      </c>
      <c r="C284" t="s">
        <v>1132</v>
      </c>
      <c r="D284" t="s">
        <v>1362</v>
      </c>
    </row>
    <row r="287" spans="1:4" x14ac:dyDescent="0.25">
      <c r="A287" t="s">
        <v>1363</v>
      </c>
      <c r="B287" t="s">
        <v>1364</v>
      </c>
      <c r="C287" t="s">
        <v>1132</v>
      </c>
      <c r="D287" t="s">
        <v>1365</v>
      </c>
    </row>
    <row r="290" spans="1:4" x14ac:dyDescent="0.25">
      <c r="A290" t="s">
        <v>1366</v>
      </c>
      <c r="B290" t="s">
        <v>1367</v>
      </c>
      <c r="C290" t="s">
        <v>1132</v>
      </c>
      <c r="D290" t="s">
        <v>1365</v>
      </c>
    </row>
    <row r="293" spans="1:4" x14ac:dyDescent="0.25">
      <c r="A293" t="s">
        <v>1368</v>
      </c>
      <c r="B293" t="s">
        <v>1369</v>
      </c>
      <c r="C293" t="s">
        <v>1132</v>
      </c>
      <c r="D293" t="s">
        <v>1370</v>
      </c>
    </row>
    <row r="296" spans="1:4" x14ac:dyDescent="0.25">
      <c r="A296" t="s">
        <v>1371</v>
      </c>
      <c r="B296" t="s">
        <v>1372</v>
      </c>
      <c r="C296" t="s">
        <v>1132</v>
      </c>
      <c r="D296" t="s">
        <v>1373</v>
      </c>
    </row>
    <row r="299" spans="1:4" x14ac:dyDescent="0.25">
      <c r="A299" t="s">
        <v>1374</v>
      </c>
      <c r="B299" t="s">
        <v>1375</v>
      </c>
      <c r="C299" t="s">
        <v>1132</v>
      </c>
      <c r="D299" t="s">
        <v>1376</v>
      </c>
    </row>
    <row r="302" spans="1:4" x14ac:dyDescent="0.25">
      <c r="A302" t="s">
        <v>1377</v>
      </c>
      <c r="B302" t="s">
        <v>1378</v>
      </c>
      <c r="C302" t="s">
        <v>1132</v>
      </c>
      <c r="D302" t="s">
        <v>1376</v>
      </c>
    </row>
    <row r="305" spans="1:4" x14ac:dyDescent="0.25">
      <c r="A305" t="s">
        <v>1379</v>
      </c>
      <c r="B305" t="s">
        <v>1380</v>
      </c>
      <c r="C305" t="s">
        <v>1132</v>
      </c>
      <c r="D305" t="s">
        <v>1376</v>
      </c>
    </row>
    <row r="308" spans="1:4" x14ac:dyDescent="0.25">
      <c r="A308" t="s">
        <v>1381</v>
      </c>
      <c r="B308" t="s">
        <v>1382</v>
      </c>
      <c r="C308" t="s">
        <v>1132</v>
      </c>
      <c r="D308" t="s">
        <v>1383</v>
      </c>
    </row>
    <row r="311" spans="1:4" x14ac:dyDescent="0.25">
      <c r="A311" t="s">
        <v>1384</v>
      </c>
      <c r="B311" t="s">
        <v>1385</v>
      </c>
      <c r="C311" t="s">
        <v>1132</v>
      </c>
      <c r="D311" t="s">
        <v>1383</v>
      </c>
    </row>
    <row r="314" spans="1:4" x14ac:dyDescent="0.25">
      <c r="A314" t="s">
        <v>1386</v>
      </c>
      <c r="B314" t="s">
        <v>1387</v>
      </c>
      <c r="C314" t="s">
        <v>1132</v>
      </c>
      <c r="D314" t="s">
        <v>1388</v>
      </c>
    </row>
    <row r="317" spans="1:4" x14ac:dyDescent="0.25">
      <c r="A317" t="s">
        <v>1389</v>
      </c>
      <c r="B317" t="s">
        <v>1390</v>
      </c>
      <c r="C317" t="s">
        <v>1132</v>
      </c>
      <c r="D317" t="s">
        <v>1388</v>
      </c>
    </row>
    <row r="320" spans="1:4" x14ac:dyDescent="0.25">
      <c r="A320" t="s">
        <v>1391</v>
      </c>
      <c r="B320" t="s">
        <v>1392</v>
      </c>
      <c r="C320" t="s">
        <v>1132</v>
      </c>
      <c r="D320" t="s">
        <v>1393</v>
      </c>
    </row>
    <row r="323" spans="1:4" x14ac:dyDescent="0.25">
      <c r="A323" t="s">
        <v>1394</v>
      </c>
      <c r="B323" t="s">
        <v>1395</v>
      </c>
      <c r="C323" t="s">
        <v>1182</v>
      </c>
      <c r="D323" t="s">
        <v>1396</v>
      </c>
    </row>
    <row r="326" spans="1:4" x14ac:dyDescent="0.25">
      <c r="A326" t="s">
        <v>1397</v>
      </c>
      <c r="B326" t="s">
        <v>1398</v>
      </c>
      <c r="C326" t="s">
        <v>1182</v>
      </c>
      <c r="D326" t="s">
        <v>1399</v>
      </c>
    </row>
    <row r="329" spans="1:4" x14ac:dyDescent="0.25">
      <c r="A329" t="s">
        <v>1400</v>
      </c>
      <c r="B329" t="s">
        <v>1401</v>
      </c>
      <c r="C329" t="s">
        <v>1182</v>
      </c>
      <c r="D329" t="s">
        <v>1402</v>
      </c>
    </row>
    <row r="332" spans="1:4" x14ac:dyDescent="0.25">
      <c r="A332" t="s">
        <v>1403</v>
      </c>
      <c r="B332" t="s">
        <v>1404</v>
      </c>
      <c r="C332" t="s">
        <v>1182</v>
      </c>
      <c r="D332" t="s">
        <v>1402</v>
      </c>
    </row>
    <row r="335" spans="1:4" x14ac:dyDescent="0.25">
      <c r="A335" t="s">
        <v>1405</v>
      </c>
      <c r="B335" t="s">
        <v>1406</v>
      </c>
      <c r="C335" t="s">
        <v>1182</v>
      </c>
      <c r="D335" t="s">
        <v>1407</v>
      </c>
    </row>
    <row r="338" spans="1:4" x14ac:dyDescent="0.25">
      <c r="A338" t="s">
        <v>1408</v>
      </c>
      <c r="B338" t="s">
        <v>1409</v>
      </c>
      <c r="C338" t="s">
        <v>1182</v>
      </c>
      <c r="D338" t="s">
        <v>1410</v>
      </c>
    </row>
    <row r="341" spans="1:4" x14ac:dyDescent="0.25">
      <c r="A341" t="s">
        <v>1411</v>
      </c>
      <c r="B341" t="s">
        <v>1412</v>
      </c>
      <c r="C341" t="s">
        <v>1182</v>
      </c>
      <c r="D341" t="s">
        <v>1413</v>
      </c>
    </row>
    <row r="344" spans="1:4" x14ac:dyDescent="0.25">
      <c r="A344" t="s">
        <v>1414</v>
      </c>
      <c r="B344" t="s">
        <v>1415</v>
      </c>
      <c r="C344" t="s">
        <v>1182</v>
      </c>
      <c r="D344" t="s">
        <v>1416</v>
      </c>
    </row>
    <row r="347" spans="1:4" x14ac:dyDescent="0.25">
      <c r="A347" t="s">
        <v>1417</v>
      </c>
      <c r="B347" t="s">
        <v>1418</v>
      </c>
      <c r="C347" t="s">
        <v>1182</v>
      </c>
      <c r="D347" t="s">
        <v>1419</v>
      </c>
    </row>
    <row r="350" spans="1:4" x14ac:dyDescent="0.25">
      <c r="A350" t="s">
        <v>1420</v>
      </c>
      <c r="B350" t="s">
        <v>1421</v>
      </c>
      <c r="C350" t="s">
        <v>1182</v>
      </c>
      <c r="D350" t="s">
        <v>1419</v>
      </c>
    </row>
    <row r="353" spans="1:4" x14ac:dyDescent="0.25">
      <c r="A353" t="s">
        <v>1422</v>
      </c>
      <c r="B353" t="s">
        <v>1423</v>
      </c>
      <c r="C353" t="s">
        <v>1182</v>
      </c>
      <c r="D353" t="s">
        <v>1424</v>
      </c>
    </row>
    <row r="356" spans="1:4" x14ac:dyDescent="0.25">
      <c r="A356" t="s">
        <v>1425</v>
      </c>
      <c r="B356" t="s">
        <v>1426</v>
      </c>
      <c r="C356" t="s">
        <v>1182</v>
      </c>
      <c r="D356" t="s">
        <v>1427</v>
      </c>
    </row>
    <row r="359" spans="1:4" x14ac:dyDescent="0.25">
      <c r="A359" t="s">
        <v>1428</v>
      </c>
      <c r="B359" t="s">
        <v>1429</v>
      </c>
      <c r="C359" t="s">
        <v>1182</v>
      </c>
      <c r="D359" t="s">
        <v>1430</v>
      </c>
    </row>
    <row r="362" spans="1:4" x14ac:dyDescent="0.25">
      <c r="A362" t="s">
        <v>1431</v>
      </c>
      <c r="B362" t="s">
        <v>1432</v>
      </c>
      <c r="C362" t="s">
        <v>1182</v>
      </c>
      <c r="D362" t="s">
        <v>1433</v>
      </c>
    </row>
    <row r="365" spans="1:4" x14ac:dyDescent="0.25">
      <c r="A365" t="s">
        <v>1434</v>
      </c>
      <c r="B365" t="s">
        <v>1435</v>
      </c>
      <c r="C365" t="s">
        <v>1182</v>
      </c>
      <c r="D365" t="s">
        <v>1436</v>
      </c>
    </row>
    <row r="368" spans="1:4" x14ac:dyDescent="0.25">
      <c r="A368" t="s">
        <v>1437</v>
      </c>
      <c r="B368" t="s">
        <v>1438</v>
      </c>
      <c r="C368" t="s">
        <v>1182</v>
      </c>
      <c r="D368" t="s">
        <v>1436</v>
      </c>
    </row>
    <row r="371" spans="1:4" x14ac:dyDescent="0.25">
      <c r="A371" t="s">
        <v>1439</v>
      </c>
      <c r="B371" t="s">
        <v>1440</v>
      </c>
      <c r="C371" t="s">
        <v>1182</v>
      </c>
      <c r="D371" t="s">
        <v>1441</v>
      </c>
    </row>
    <row r="374" spans="1:4" x14ac:dyDescent="0.25">
      <c r="A374" t="s">
        <v>1442</v>
      </c>
      <c r="B374" t="s">
        <v>1443</v>
      </c>
      <c r="C374" t="s">
        <v>1182</v>
      </c>
      <c r="D374" t="s">
        <v>1444</v>
      </c>
    </row>
    <row r="377" spans="1:4" x14ac:dyDescent="0.25">
      <c r="A377" t="s">
        <v>1445</v>
      </c>
      <c r="B377" t="s">
        <v>1446</v>
      </c>
      <c r="C377" t="s">
        <v>1182</v>
      </c>
      <c r="D377" t="s">
        <v>1447</v>
      </c>
    </row>
    <row r="380" spans="1:4" x14ac:dyDescent="0.25">
      <c r="A380" t="s">
        <v>1448</v>
      </c>
      <c r="B380" t="s">
        <v>1449</v>
      </c>
      <c r="C380" t="s">
        <v>1182</v>
      </c>
      <c r="D380" t="s">
        <v>1447</v>
      </c>
    </row>
    <row r="383" spans="1:4" x14ac:dyDescent="0.25">
      <c r="A383" t="s">
        <v>1450</v>
      </c>
      <c r="B383" t="s">
        <v>1451</v>
      </c>
      <c r="C383" t="s">
        <v>1182</v>
      </c>
      <c r="D383" t="s">
        <v>1452</v>
      </c>
    </row>
    <row r="386" spans="1:4" x14ac:dyDescent="0.25">
      <c r="A386" t="s">
        <v>1453</v>
      </c>
      <c r="B386" t="s">
        <v>1454</v>
      </c>
      <c r="C386" t="s">
        <v>1182</v>
      </c>
      <c r="D386" t="s">
        <v>1455</v>
      </c>
    </row>
    <row r="389" spans="1:4" x14ac:dyDescent="0.25">
      <c r="A389" t="s">
        <v>1456</v>
      </c>
      <c r="B389" t="s">
        <v>1457</v>
      </c>
      <c r="C389" t="s">
        <v>1182</v>
      </c>
      <c r="D389" t="s">
        <v>1458</v>
      </c>
    </row>
    <row r="392" spans="1:4" x14ac:dyDescent="0.25">
      <c r="A392" t="s">
        <v>1459</v>
      </c>
      <c r="B392" t="s">
        <v>1460</v>
      </c>
      <c r="C392" t="s">
        <v>1182</v>
      </c>
      <c r="D392" t="s">
        <v>1461</v>
      </c>
    </row>
    <row r="395" spans="1:4" x14ac:dyDescent="0.25">
      <c r="A395" t="s">
        <v>1462</v>
      </c>
      <c r="B395" t="s">
        <v>1463</v>
      </c>
      <c r="C395" t="s">
        <v>1182</v>
      </c>
      <c r="D395" t="s">
        <v>1461</v>
      </c>
    </row>
    <row r="398" spans="1:4" x14ac:dyDescent="0.25">
      <c r="A398" t="s">
        <v>1464</v>
      </c>
      <c r="B398" t="s">
        <v>1465</v>
      </c>
      <c r="C398" t="s">
        <v>1182</v>
      </c>
      <c r="D398" t="s">
        <v>1466</v>
      </c>
    </row>
    <row r="401" spans="1:4" x14ac:dyDescent="0.25">
      <c r="A401" t="s">
        <v>1467</v>
      </c>
      <c r="B401" t="s">
        <v>1468</v>
      </c>
      <c r="C401" t="s">
        <v>1182</v>
      </c>
      <c r="D401" t="s">
        <v>1466</v>
      </c>
    </row>
    <row r="404" spans="1:4" x14ac:dyDescent="0.25">
      <c r="A404" t="s">
        <v>1469</v>
      </c>
      <c r="B404" t="s">
        <v>1470</v>
      </c>
      <c r="C404" t="s">
        <v>1182</v>
      </c>
      <c r="D404" t="s">
        <v>1471</v>
      </c>
    </row>
    <row r="407" spans="1:4" x14ac:dyDescent="0.25">
      <c r="A407" t="s">
        <v>1472</v>
      </c>
      <c r="B407" t="s">
        <v>1473</v>
      </c>
      <c r="C407" t="s">
        <v>1182</v>
      </c>
      <c r="D407" t="s">
        <v>1471</v>
      </c>
    </row>
    <row r="410" spans="1:4" x14ac:dyDescent="0.25">
      <c r="A410" t="s">
        <v>1474</v>
      </c>
      <c r="B410" t="s">
        <v>1475</v>
      </c>
      <c r="C410" t="s">
        <v>1182</v>
      </c>
      <c r="D410" t="s">
        <v>1476</v>
      </c>
    </row>
    <row r="413" spans="1:4" x14ac:dyDescent="0.25">
      <c r="A413" t="s">
        <v>1477</v>
      </c>
      <c r="B413" t="s">
        <v>1478</v>
      </c>
      <c r="C413" t="s">
        <v>1182</v>
      </c>
      <c r="D413" t="s">
        <v>1476</v>
      </c>
    </row>
    <row r="416" spans="1:4" x14ac:dyDescent="0.25">
      <c r="A416" t="s">
        <v>1479</v>
      </c>
      <c r="B416" t="s">
        <v>1480</v>
      </c>
      <c r="C416" t="s">
        <v>1182</v>
      </c>
      <c r="D416" t="s">
        <v>1481</v>
      </c>
    </row>
    <row r="419" spans="1:4" x14ac:dyDescent="0.25">
      <c r="A419" t="s">
        <v>1482</v>
      </c>
      <c r="B419" t="s">
        <v>1483</v>
      </c>
      <c r="C419" t="s">
        <v>1182</v>
      </c>
      <c r="D419" t="s">
        <v>1484</v>
      </c>
    </row>
    <row r="422" spans="1:4" x14ac:dyDescent="0.25">
      <c r="A422" t="s">
        <v>1485</v>
      </c>
      <c r="B422" t="s">
        <v>1486</v>
      </c>
      <c r="C422" t="s">
        <v>1182</v>
      </c>
      <c r="D422" t="s">
        <v>1484</v>
      </c>
    </row>
    <row r="425" spans="1:4" x14ac:dyDescent="0.25">
      <c r="A425" t="s">
        <v>1487</v>
      </c>
      <c r="B425" t="s">
        <v>1488</v>
      </c>
      <c r="C425" t="s">
        <v>1182</v>
      </c>
      <c r="D425" t="s">
        <v>1489</v>
      </c>
    </row>
    <row r="428" spans="1:4" x14ac:dyDescent="0.25">
      <c r="A428" t="s">
        <v>1490</v>
      </c>
      <c r="B428" t="s">
        <v>1491</v>
      </c>
      <c r="C428" t="s">
        <v>1182</v>
      </c>
      <c r="D428" t="s">
        <v>1489</v>
      </c>
    </row>
    <row r="431" spans="1:4" x14ac:dyDescent="0.25">
      <c r="A431" t="s">
        <v>1492</v>
      </c>
      <c r="B431" t="s">
        <v>1493</v>
      </c>
      <c r="C431" t="s">
        <v>1182</v>
      </c>
      <c r="D431" t="s">
        <v>1489</v>
      </c>
    </row>
    <row r="434" spans="1:4" x14ac:dyDescent="0.25">
      <c r="A434" t="s">
        <v>1494</v>
      </c>
      <c r="B434" t="s">
        <v>1495</v>
      </c>
      <c r="C434" t="s">
        <v>1182</v>
      </c>
      <c r="D434" t="s">
        <v>1496</v>
      </c>
    </row>
    <row r="437" spans="1:4" x14ac:dyDescent="0.25">
      <c r="A437" t="s">
        <v>1497</v>
      </c>
      <c r="B437" t="s">
        <v>1498</v>
      </c>
      <c r="C437" t="s">
        <v>1182</v>
      </c>
      <c r="D437" t="s">
        <v>1496</v>
      </c>
    </row>
    <row r="440" spans="1:4" x14ac:dyDescent="0.25">
      <c r="A440" t="s">
        <v>1499</v>
      </c>
      <c r="B440" t="s">
        <v>1500</v>
      </c>
      <c r="C440" t="s">
        <v>1182</v>
      </c>
      <c r="D440" t="s">
        <v>1501</v>
      </c>
    </row>
    <row r="443" spans="1:4" x14ac:dyDescent="0.25">
      <c r="A443" t="s">
        <v>1502</v>
      </c>
      <c r="B443" t="s">
        <v>1503</v>
      </c>
      <c r="C443" t="s">
        <v>1182</v>
      </c>
      <c r="D443" t="s">
        <v>1501</v>
      </c>
    </row>
    <row r="446" spans="1:4" x14ac:dyDescent="0.25">
      <c r="A446" t="s">
        <v>1504</v>
      </c>
      <c r="B446" t="s">
        <v>1505</v>
      </c>
      <c r="C446" t="s">
        <v>1132</v>
      </c>
      <c r="D446" t="s">
        <v>1506</v>
      </c>
    </row>
    <row r="449" spans="1:4" x14ac:dyDescent="0.25">
      <c r="A449" t="s">
        <v>1507</v>
      </c>
      <c r="B449" t="s">
        <v>1508</v>
      </c>
      <c r="C449" t="s">
        <v>1132</v>
      </c>
      <c r="D449" t="s">
        <v>1509</v>
      </c>
    </row>
    <row r="452" spans="1:4" x14ac:dyDescent="0.25">
      <c r="A452" t="s">
        <v>1510</v>
      </c>
      <c r="B452" t="s">
        <v>1511</v>
      </c>
      <c r="C452" t="s">
        <v>1132</v>
      </c>
      <c r="D452" t="s">
        <v>1509</v>
      </c>
    </row>
    <row r="455" spans="1:4" x14ac:dyDescent="0.25">
      <c r="A455" t="s">
        <v>1512</v>
      </c>
      <c r="B455" t="s">
        <v>1513</v>
      </c>
      <c r="C455" t="s">
        <v>1132</v>
      </c>
      <c r="D455" t="s">
        <v>1514</v>
      </c>
    </row>
    <row r="458" spans="1:4" x14ac:dyDescent="0.25">
      <c r="A458" t="s">
        <v>1515</v>
      </c>
      <c r="B458" t="s">
        <v>1516</v>
      </c>
      <c r="C458" t="s">
        <v>1132</v>
      </c>
      <c r="D458" t="s">
        <v>1517</v>
      </c>
    </row>
    <row r="461" spans="1:4" x14ac:dyDescent="0.25">
      <c r="A461" t="s">
        <v>1518</v>
      </c>
      <c r="B461" t="s">
        <v>1519</v>
      </c>
      <c r="C461" t="s">
        <v>1132</v>
      </c>
      <c r="D461" t="s">
        <v>1517</v>
      </c>
    </row>
    <row r="464" spans="1:4" x14ac:dyDescent="0.25">
      <c r="A464" t="s">
        <v>1520</v>
      </c>
      <c r="B464" t="s">
        <v>1521</v>
      </c>
      <c r="C464" t="s">
        <v>1132</v>
      </c>
      <c r="D464" t="s">
        <v>1522</v>
      </c>
    </row>
    <row r="467" spans="1:4" x14ac:dyDescent="0.25">
      <c r="A467" t="s">
        <v>1523</v>
      </c>
      <c r="B467" t="s">
        <v>1524</v>
      </c>
      <c r="C467" t="s">
        <v>1132</v>
      </c>
      <c r="D467" t="s">
        <v>1522</v>
      </c>
    </row>
    <row r="470" spans="1:4" x14ac:dyDescent="0.25">
      <c r="A470" t="s">
        <v>1525</v>
      </c>
      <c r="B470" t="s">
        <v>1526</v>
      </c>
      <c r="C470" t="s">
        <v>1132</v>
      </c>
      <c r="D470" t="s">
        <v>1527</v>
      </c>
    </row>
    <row r="473" spans="1:4" x14ac:dyDescent="0.25">
      <c r="A473" t="s">
        <v>1528</v>
      </c>
      <c r="B473" t="s">
        <v>1529</v>
      </c>
      <c r="C473" t="s">
        <v>1132</v>
      </c>
      <c r="D473" t="s">
        <v>1527</v>
      </c>
    </row>
    <row r="476" spans="1:4" x14ac:dyDescent="0.25">
      <c r="A476" t="s">
        <v>1530</v>
      </c>
      <c r="B476" t="s">
        <v>1531</v>
      </c>
      <c r="C476" t="s">
        <v>1132</v>
      </c>
      <c r="D476" t="s">
        <v>1532</v>
      </c>
    </row>
    <row r="479" spans="1:4" x14ac:dyDescent="0.25">
      <c r="A479" t="s">
        <v>1533</v>
      </c>
      <c r="B479" t="s">
        <v>1534</v>
      </c>
      <c r="C479" t="s">
        <v>1132</v>
      </c>
      <c r="D479" t="s">
        <v>1535</v>
      </c>
    </row>
    <row r="482" spans="1:4" x14ac:dyDescent="0.25">
      <c r="A482" t="s">
        <v>1536</v>
      </c>
      <c r="B482" t="s">
        <v>1537</v>
      </c>
      <c r="C482" t="s">
        <v>1132</v>
      </c>
      <c r="D482" t="s">
        <v>1535</v>
      </c>
    </row>
    <row r="485" spans="1:4" x14ac:dyDescent="0.25">
      <c r="A485" t="s">
        <v>1538</v>
      </c>
      <c r="B485" t="s">
        <v>1539</v>
      </c>
      <c r="C485" t="s">
        <v>1132</v>
      </c>
      <c r="D485" t="s">
        <v>1540</v>
      </c>
    </row>
    <row r="488" spans="1:4" x14ac:dyDescent="0.25">
      <c r="A488" t="s">
        <v>1541</v>
      </c>
      <c r="B488" t="s">
        <v>1542</v>
      </c>
      <c r="C488" t="s">
        <v>1132</v>
      </c>
      <c r="D488" t="s">
        <v>1540</v>
      </c>
    </row>
    <row r="491" spans="1:4" x14ac:dyDescent="0.25">
      <c r="A491" t="s">
        <v>1543</v>
      </c>
      <c r="B491" t="s">
        <v>1544</v>
      </c>
      <c r="C491" t="s">
        <v>1132</v>
      </c>
      <c r="D491" t="s">
        <v>1540</v>
      </c>
    </row>
    <row r="494" spans="1:4" x14ac:dyDescent="0.25">
      <c r="A494" t="s">
        <v>1545</v>
      </c>
      <c r="B494" t="s">
        <v>1546</v>
      </c>
      <c r="C494" t="s">
        <v>1132</v>
      </c>
      <c r="D494" t="s">
        <v>1547</v>
      </c>
    </row>
    <row r="497" spans="1:4" x14ac:dyDescent="0.25">
      <c r="A497" t="s">
        <v>1548</v>
      </c>
      <c r="B497" t="s">
        <v>1549</v>
      </c>
      <c r="C497" t="s">
        <v>1132</v>
      </c>
      <c r="D497" t="s">
        <v>1547</v>
      </c>
    </row>
    <row r="500" spans="1:4" x14ac:dyDescent="0.25">
      <c r="A500" t="s">
        <v>1550</v>
      </c>
      <c r="B500" t="s">
        <v>1551</v>
      </c>
      <c r="C500" t="s">
        <v>1132</v>
      </c>
      <c r="D500" t="s">
        <v>1552</v>
      </c>
    </row>
    <row r="503" spans="1:4" x14ac:dyDescent="0.25">
      <c r="A503" t="s">
        <v>1553</v>
      </c>
      <c r="B503" t="s">
        <v>1554</v>
      </c>
      <c r="C503" t="s">
        <v>1132</v>
      </c>
      <c r="D503" t="s">
        <v>1555</v>
      </c>
    </row>
    <row r="506" spans="1:4" x14ac:dyDescent="0.25">
      <c r="A506" t="s">
        <v>1556</v>
      </c>
      <c r="B506" t="s">
        <v>1557</v>
      </c>
      <c r="C506" t="s">
        <v>1132</v>
      </c>
      <c r="D506" t="s">
        <v>1555</v>
      </c>
    </row>
    <row r="509" spans="1:4" x14ac:dyDescent="0.25">
      <c r="A509" t="s">
        <v>1558</v>
      </c>
      <c r="B509" t="s">
        <v>1559</v>
      </c>
      <c r="C509" t="s">
        <v>1132</v>
      </c>
      <c r="D509" t="s">
        <v>1560</v>
      </c>
    </row>
    <row r="512" spans="1:4" x14ac:dyDescent="0.25">
      <c r="A512" t="s">
        <v>1561</v>
      </c>
      <c r="B512" t="s">
        <v>1562</v>
      </c>
      <c r="C512" t="s">
        <v>1132</v>
      </c>
      <c r="D512" t="s">
        <v>1563</v>
      </c>
    </row>
    <row r="515" spans="1:4" x14ac:dyDescent="0.25">
      <c r="A515" t="s">
        <v>1564</v>
      </c>
      <c r="B515" t="s">
        <v>1565</v>
      </c>
      <c r="C515" t="s">
        <v>1132</v>
      </c>
      <c r="D515" t="s">
        <v>1566</v>
      </c>
    </row>
    <row r="518" spans="1:4" x14ac:dyDescent="0.25">
      <c r="A518" t="s">
        <v>1567</v>
      </c>
      <c r="B518" t="s">
        <v>1568</v>
      </c>
      <c r="C518" t="s">
        <v>1132</v>
      </c>
      <c r="D518" t="s">
        <v>1566</v>
      </c>
    </row>
    <row r="521" spans="1:4" x14ac:dyDescent="0.25">
      <c r="A521" t="s">
        <v>1569</v>
      </c>
      <c r="B521" t="s">
        <v>1570</v>
      </c>
      <c r="C521" t="s">
        <v>1132</v>
      </c>
      <c r="D521" t="s">
        <v>1571</v>
      </c>
    </row>
    <row r="524" spans="1:4" x14ac:dyDescent="0.25">
      <c r="A524" t="s">
        <v>1572</v>
      </c>
      <c r="B524" t="s">
        <v>1573</v>
      </c>
      <c r="C524" t="s">
        <v>1132</v>
      </c>
      <c r="D524" t="s">
        <v>1574</v>
      </c>
    </row>
    <row r="527" spans="1:4" x14ac:dyDescent="0.25">
      <c r="A527" t="s">
        <v>1575</v>
      </c>
      <c r="B527" t="s">
        <v>1576</v>
      </c>
      <c r="C527" t="s">
        <v>1132</v>
      </c>
      <c r="D527" t="s">
        <v>1560</v>
      </c>
    </row>
    <row r="530" spans="1:4" x14ac:dyDescent="0.25">
      <c r="A530" t="s">
        <v>1577</v>
      </c>
      <c r="B530" t="s">
        <v>1578</v>
      </c>
      <c r="C530" t="s">
        <v>1132</v>
      </c>
      <c r="D530" t="s">
        <v>1579</v>
      </c>
    </row>
    <row r="533" spans="1:4" x14ac:dyDescent="0.25">
      <c r="A533" t="s">
        <v>1580</v>
      </c>
      <c r="B533" t="s">
        <v>1581</v>
      </c>
      <c r="C533" t="s">
        <v>1132</v>
      </c>
      <c r="D533" t="s">
        <v>1579</v>
      </c>
    </row>
    <row r="536" spans="1:4" x14ac:dyDescent="0.25">
      <c r="A536" t="s">
        <v>1582</v>
      </c>
      <c r="B536" t="s">
        <v>1583</v>
      </c>
      <c r="C536" t="s">
        <v>1132</v>
      </c>
      <c r="D536" t="s">
        <v>1584</v>
      </c>
    </row>
    <row r="539" spans="1:4" x14ac:dyDescent="0.25">
      <c r="A539" t="s">
        <v>1585</v>
      </c>
      <c r="B539" t="s">
        <v>1586</v>
      </c>
      <c r="C539" t="s">
        <v>1132</v>
      </c>
      <c r="D539" t="s">
        <v>1587</v>
      </c>
    </row>
    <row r="542" spans="1:4" x14ac:dyDescent="0.25">
      <c r="A542" t="s">
        <v>1588</v>
      </c>
      <c r="B542" t="s">
        <v>1589</v>
      </c>
      <c r="C542" t="s">
        <v>1132</v>
      </c>
      <c r="D542" t="s">
        <v>1563</v>
      </c>
    </row>
    <row r="545" spans="1:4" x14ac:dyDescent="0.25">
      <c r="A545" t="s">
        <v>1590</v>
      </c>
      <c r="B545" t="s">
        <v>1591</v>
      </c>
      <c r="C545" t="s">
        <v>1132</v>
      </c>
      <c r="D545" t="s">
        <v>1571</v>
      </c>
    </row>
    <row r="548" spans="1:4" x14ac:dyDescent="0.25">
      <c r="A548" t="s">
        <v>1592</v>
      </c>
      <c r="B548" t="s">
        <v>1593</v>
      </c>
      <c r="C548" t="s">
        <v>1132</v>
      </c>
      <c r="D548" t="s">
        <v>1594</v>
      </c>
    </row>
    <row r="551" spans="1:4" x14ac:dyDescent="0.25">
      <c r="A551" t="s">
        <v>1595</v>
      </c>
      <c r="B551" t="s">
        <v>1596</v>
      </c>
      <c r="C551" t="s">
        <v>1132</v>
      </c>
      <c r="D551" t="s">
        <v>1574</v>
      </c>
    </row>
    <row r="554" spans="1:4" x14ac:dyDescent="0.25">
      <c r="A554" t="s">
        <v>1597</v>
      </c>
      <c r="B554" t="s">
        <v>1598</v>
      </c>
      <c r="C554" t="s">
        <v>1132</v>
      </c>
      <c r="D554" t="s">
        <v>1599</v>
      </c>
    </row>
    <row r="557" spans="1:4" x14ac:dyDescent="0.25">
      <c r="A557" t="s">
        <v>1600</v>
      </c>
      <c r="B557" t="s">
        <v>1601</v>
      </c>
      <c r="C557" t="s">
        <v>1132</v>
      </c>
      <c r="D557" t="s">
        <v>1599</v>
      </c>
    </row>
    <row r="560" spans="1:4" x14ac:dyDescent="0.25">
      <c r="A560" t="s">
        <v>1602</v>
      </c>
      <c r="B560" t="s">
        <v>1603</v>
      </c>
      <c r="C560" t="s">
        <v>1132</v>
      </c>
      <c r="D560" t="s">
        <v>1604</v>
      </c>
    </row>
    <row r="563" spans="1:4" x14ac:dyDescent="0.25">
      <c r="A563" t="s">
        <v>1605</v>
      </c>
      <c r="B563" t="s">
        <v>1606</v>
      </c>
      <c r="C563" t="s">
        <v>1132</v>
      </c>
      <c r="D563" t="s">
        <v>1574</v>
      </c>
    </row>
    <row r="566" spans="1:4" x14ac:dyDescent="0.25">
      <c r="A566" t="s">
        <v>1607</v>
      </c>
      <c r="B566" t="s">
        <v>1608</v>
      </c>
      <c r="C566" t="s">
        <v>1132</v>
      </c>
      <c r="D566" t="s">
        <v>1594</v>
      </c>
    </row>
    <row r="569" spans="1:4" x14ac:dyDescent="0.25">
      <c r="A569" t="s">
        <v>1609</v>
      </c>
      <c r="B569" t="s">
        <v>1610</v>
      </c>
      <c r="C569" t="s">
        <v>1132</v>
      </c>
      <c r="D569" t="s">
        <v>1611</v>
      </c>
    </row>
    <row r="572" spans="1:4" x14ac:dyDescent="0.25">
      <c r="A572" t="s">
        <v>1612</v>
      </c>
      <c r="B572" t="s">
        <v>1613</v>
      </c>
      <c r="C572" t="s">
        <v>1132</v>
      </c>
      <c r="D572" t="s">
        <v>1611</v>
      </c>
    </row>
    <row r="575" spans="1:4" x14ac:dyDescent="0.25">
      <c r="A575" t="s">
        <v>1614</v>
      </c>
      <c r="B575" t="s">
        <v>1615</v>
      </c>
      <c r="C575" t="s">
        <v>1132</v>
      </c>
      <c r="D575" t="s">
        <v>1616</v>
      </c>
    </row>
    <row r="578" spans="1:4" x14ac:dyDescent="0.25">
      <c r="A578" t="s">
        <v>1617</v>
      </c>
      <c r="B578" t="s">
        <v>1618</v>
      </c>
      <c r="C578" t="s">
        <v>1132</v>
      </c>
      <c r="D578" t="s">
        <v>1619</v>
      </c>
    </row>
    <row r="581" spans="1:4" x14ac:dyDescent="0.25">
      <c r="A581" t="s">
        <v>1620</v>
      </c>
      <c r="B581" t="s">
        <v>1621</v>
      </c>
      <c r="C581" t="s">
        <v>1132</v>
      </c>
      <c r="D581" t="s">
        <v>1622</v>
      </c>
    </row>
    <row r="584" spans="1:4" x14ac:dyDescent="0.25">
      <c r="A584" t="s">
        <v>1623</v>
      </c>
      <c r="B584" t="s">
        <v>1624</v>
      </c>
      <c r="C584" t="s">
        <v>1132</v>
      </c>
      <c r="D584" t="s">
        <v>1625</v>
      </c>
    </row>
    <row r="587" spans="1:4" x14ac:dyDescent="0.25">
      <c r="A587" t="s">
        <v>1626</v>
      </c>
      <c r="B587" t="s">
        <v>1627</v>
      </c>
      <c r="C587" t="s">
        <v>1132</v>
      </c>
      <c r="D587" t="s">
        <v>1604</v>
      </c>
    </row>
    <row r="590" spans="1:4" x14ac:dyDescent="0.25">
      <c r="A590" t="s">
        <v>1628</v>
      </c>
      <c r="B590" t="s">
        <v>1629</v>
      </c>
      <c r="C590" t="s">
        <v>1132</v>
      </c>
      <c r="D590" t="s">
        <v>1622</v>
      </c>
    </row>
    <row r="593" spans="1:4" x14ac:dyDescent="0.25">
      <c r="A593" t="s">
        <v>1630</v>
      </c>
      <c r="B593" t="s">
        <v>1631</v>
      </c>
      <c r="C593" t="s">
        <v>1132</v>
      </c>
      <c r="D593" t="s">
        <v>1560</v>
      </c>
    </row>
    <row r="596" spans="1:4" x14ac:dyDescent="0.25">
      <c r="A596" t="s">
        <v>1632</v>
      </c>
      <c r="B596" t="s">
        <v>1633</v>
      </c>
      <c r="C596" t="s">
        <v>1182</v>
      </c>
      <c r="D596" t="s">
        <v>1634</v>
      </c>
    </row>
    <row r="599" spans="1:4" x14ac:dyDescent="0.25">
      <c r="A599" t="s">
        <v>1635</v>
      </c>
      <c r="B599" t="s">
        <v>1636</v>
      </c>
      <c r="C599" t="s">
        <v>1182</v>
      </c>
      <c r="D599" t="s">
        <v>1637</v>
      </c>
    </row>
    <row r="602" spans="1:4" x14ac:dyDescent="0.25">
      <c r="A602" t="s">
        <v>1638</v>
      </c>
      <c r="B602" t="s">
        <v>1639</v>
      </c>
      <c r="C602" t="s">
        <v>1182</v>
      </c>
      <c r="D602" t="s">
        <v>1637</v>
      </c>
    </row>
    <row r="605" spans="1:4" x14ac:dyDescent="0.25">
      <c r="A605" t="s">
        <v>1640</v>
      </c>
      <c r="B605" t="s">
        <v>1641</v>
      </c>
      <c r="C605" t="s">
        <v>1182</v>
      </c>
      <c r="D605" t="s">
        <v>1642</v>
      </c>
    </row>
    <row r="608" spans="1:4" x14ac:dyDescent="0.25">
      <c r="A608" t="s">
        <v>1643</v>
      </c>
      <c r="B608" t="s">
        <v>1644</v>
      </c>
      <c r="C608" t="s">
        <v>1182</v>
      </c>
      <c r="D608" t="s">
        <v>1642</v>
      </c>
    </row>
    <row r="611" spans="1:4" x14ac:dyDescent="0.25">
      <c r="A611" t="s">
        <v>1645</v>
      </c>
      <c r="B611" t="s">
        <v>1646</v>
      </c>
      <c r="C611" t="s">
        <v>1182</v>
      </c>
      <c r="D611" t="s">
        <v>1642</v>
      </c>
    </row>
    <row r="614" spans="1:4" x14ac:dyDescent="0.25">
      <c r="A614" t="s">
        <v>1647</v>
      </c>
      <c r="B614" t="s">
        <v>1648</v>
      </c>
      <c r="C614" t="s">
        <v>1182</v>
      </c>
      <c r="D614" t="s">
        <v>1642</v>
      </c>
    </row>
    <row r="617" spans="1:4" x14ac:dyDescent="0.25">
      <c r="A617" t="s">
        <v>1649</v>
      </c>
      <c r="B617" t="s">
        <v>1650</v>
      </c>
      <c r="C617" t="s">
        <v>1182</v>
      </c>
      <c r="D617" t="s">
        <v>1642</v>
      </c>
    </row>
    <row r="620" spans="1:4" x14ac:dyDescent="0.25">
      <c r="A620" t="s">
        <v>1651</v>
      </c>
      <c r="B620" t="s">
        <v>1652</v>
      </c>
      <c r="C620" t="s">
        <v>1182</v>
      </c>
      <c r="D620" t="s">
        <v>1642</v>
      </c>
    </row>
    <row r="623" spans="1:4" x14ac:dyDescent="0.25">
      <c r="A623" t="s">
        <v>1653</v>
      </c>
      <c r="B623" t="s">
        <v>1654</v>
      </c>
      <c r="C623" t="s">
        <v>1182</v>
      </c>
      <c r="D623" t="s">
        <v>1655</v>
      </c>
    </row>
    <row r="626" spans="1:4" x14ac:dyDescent="0.25">
      <c r="A626" t="s">
        <v>1656</v>
      </c>
      <c r="B626" t="s">
        <v>1657</v>
      </c>
      <c r="C626" t="s">
        <v>1182</v>
      </c>
      <c r="D626" t="s">
        <v>1655</v>
      </c>
    </row>
    <row r="629" spans="1:4" x14ac:dyDescent="0.25">
      <c r="A629" t="s">
        <v>1658</v>
      </c>
      <c r="B629" t="s">
        <v>1659</v>
      </c>
      <c r="C629" t="s">
        <v>1182</v>
      </c>
      <c r="D629" t="s">
        <v>1655</v>
      </c>
    </row>
    <row r="632" spans="1:4" x14ac:dyDescent="0.25">
      <c r="A632" t="s">
        <v>1660</v>
      </c>
      <c r="B632" t="s">
        <v>1661</v>
      </c>
      <c r="C632" t="s">
        <v>1182</v>
      </c>
      <c r="D632" t="s">
        <v>1655</v>
      </c>
    </row>
    <row r="635" spans="1:4" x14ac:dyDescent="0.25">
      <c r="A635" t="s">
        <v>1662</v>
      </c>
      <c r="B635" t="s">
        <v>1661</v>
      </c>
      <c r="C635" t="s">
        <v>1182</v>
      </c>
      <c r="D635" t="s">
        <v>1655</v>
      </c>
    </row>
    <row r="638" spans="1:4" x14ac:dyDescent="0.25">
      <c r="A638" t="s">
        <v>1663</v>
      </c>
      <c r="B638" t="s">
        <v>1664</v>
      </c>
      <c r="C638" t="s">
        <v>1182</v>
      </c>
      <c r="D638" t="s">
        <v>1655</v>
      </c>
    </row>
    <row r="641" spans="1:4" x14ac:dyDescent="0.25">
      <c r="A641" t="s">
        <v>1665</v>
      </c>
      <c r="B641" t="s">
        <v>1666</v>
      </c>
      <c r="C641" t="s">
        <v>1182</v>
      </c>
      <c r="D641" t="s">
        <v>1667</v>
      </c>
    </row>
    <row r="644" spans="1:4" x14ac:dyDescent="0.25">
      <c r="A644" t="s">
        <v>1668</v>
      </c>
      <c r="B644" t="s">
        <v>1669</v>
      </c>
      <c r="C644" t="s">
        <v>1182</v>
      </c>
      <c r="D644" t="s">
        <v>1667</v>
      </c>
    </row>
    <row r="647" spans="1:4" x14ac:dyDescent="0.25">
      <c r="A647" t="s">
        <v>1670</v>
      </c>
      <c r="B647" t="s">
        <v>1671</v>
      </c>
      <c r="C647" t="s">
        <v>1182</v>
      </c>
      <c r="D647" t="s">
        <v>1667</v>
      </c>
    </row>
    <row r="650" spans="1:4" x14ac:dyDescent="0.25">
      <c r="A650" t="s">
        <v>1672</v>
      </c>
      <c r="B650" t="s">
        <v>1673</v>
      </c>
      <c r="C650" t="s">
        <v>1182</v>
      </c>
      <c r="D650" t="s">
        <v>1667</v>
      </c>
    </row>
    <row r="653" spans="1:4" x14ac:dyDescent="0.25">
      <c r="A653" t="s">
        <v>1674</v>
      </c>
      <c r="B653" t="s">
        <v>1675</v>
      </c>
      <c r="C653" t="s">
        <v>1182</v>
      </c>
      <c r="D653" t="s">
        <v>1667</v>
      </c>
    </row>
    <row r="656" spans="1:4" x14ac:dyDescent="0.25">
      <c r="A656" t="s">
        <v>1676</v>
      </c>
      <c r="B656" t="s">
        <v>1677</v>
      </c>
      <c r="C656" t="s">
        <v>1182</v>
      </c>
      <c r="D656" t="s">
        <v>1667</v>
      </c>
    </row>
    <row r="659" spans="1:4" x14ac:dyDescent="0.25">
      <c r="A659" t="s">
        <v>1678</v>
      </c>
      <c r="B659" t="s">
        <v>1679</v>
      </c>
      <c r="C659" t="s">
        <v>1182</v>
      </c>
      <c r="D659" t="s">
        <v>1680</v>
      </c>
    </row>
    <row r="662" spans="1:4" x14ac:dyDescent="0.25">
      <c r="A662" t="s">
        <v>1681</v>
      </c>
      <c r="B662" t="s">
        <v>1679</v>
      </c>
      <c r="C662" t="s">
        <v>1182</v>
      </c>
      <c r="D662" t="s">
        <v>1634</v>
      </c>
    </row>
    <row r="665" spans="1:4" x14ac:dyDescent="0.25">
      <c r="A665" t="s">
        <v>1682</v>
      </c>
      <c r="B665" t="s">
        <v>1683</v>
      </c>
      <c r="C665" t="s">
        <v>1182</v>
      </c>
      <c r="D665" t="s">
        <v>1634</v>
      </c>
    </row>
    <row r="668" spans="1:4" x14ac:dyDescent="0.25">
      <c r="A668" t="s">
        <v>1684</v>
      </c>
      <c r="B668" t="s">
        <v>1685</v>
      </c>
      <c r="C668" t="s">
        <v>1182</v>
      </c>
      <c r="D668" t="s">
        <v>1634</v>
      </c>
    </row>
    <row r="671" spans="1:4" x14ac:dyDescent="0.25">
      <c r="A671" t="s">
        <v>1686</v>
      </c>
      <c r="B671" t="s">
        <v>1687</v>
      </c>
      <c r="C671" t="s">
        <v>1182</v>
      </c>
      <c r="D671" t="s">
        <v>1688</v>
      </c>
    </row>
    <row r="674" spans="1:4" x14ac:dyDescent="0.25">
      <c r="A674" t="s">
        <v>1689</v>
      </c>
      <c r="B674" t="s">
        <v>1690</v>
      </c>
      <c r="C674" t="s">
        <v>1182</v>
      </c>
      <c r="D674" t="s">
        <v>1688</v>
      </c>
    </row>
    <row r="677" spans="1:4" x14ac:dyDescent="0.25">
      <c r="A677" t="s">
        <v>1691</v>
      </c>
      <c r="B677" t="s">
        <v>1692</v>
      </c>
      <c r="C677" t="s">
        <v>1182</v>
      </c>
      <c r="D677" t="s">
        <v>1688</v>
      </c>
    </row>
    <row r="680" spans="1:4" x14ac:dyDescent="0.25">
      <c r="A680" t="s">
        <v>1693</v>
      </c>
      <c r="B680" t="s">
        <v>1694</v>
      </c>
      <c r="C680" t="s">
        <v>1182</v>
      </c>
      <c r="D680" t="s">
        <v>1688</v>
      </c>
    </row>
    <row r="683" spans="1:4" x14ac:dyDescent="0.25">
      <c r="A683" t="s">
        <v>1695</v>
      </c>
      <c r="B683" t="s">
        <v>1696</v>
      </c>
      <c r="C683" t="s">
        <v>1182</v>
      </c>
      <c r="D683" t="s">
        <v>1688</v>
      </c>
    </row>
    <row r="686" spans="1:4" x14ac:dyDescent="0.25">
      <c r="A686" t="s">
        <v>1697</v>
      </c>
      <c r="B686" t="s">
        <v>1698</v>
      </c>
      <c r="C686" t="s">
        <v>1182</v>
      </c>
      <c r="D686" t="s">
        <v>1688</v>
      </c>
    </row>
    <row r="689" spans="1:4" x14ac:dyDescent="0.25">
      <c r="A689" t="s">
        <v>1699</v>
      </c>
      <c r="B689" t="s">
        <v>1700</v>
      </c>
      <c r="C689" t="s">
        <v>1182</v>
      </c>
      <c r="D689" t="s">
        <v>1688</v>
      </c>
    </row>
    <row r="692" spans="1:4" x14ac:dyDescent="0.25">
      <c r="A692" t="s">
        <v>1701</v>
      </c>
      <c r="B692" t="s">
        <v>1702</v>
      </c>
      <c r="C692" t="s">
        <v>1182</v>
      </c>
      <c r="D692" t="s">
        <v>1703</v>
      </c>
    </row>
    <row r="695" spans="1:4" x14ac:dyDescent="0.25">
      <c r="A695" t="s">
        <v>1704</v>
      </c>
      <c r="B695" t="s">
        <v>1705</v>
      </c>
      <c r="C695" t="s">
        <v>1182</v>
      </c>
      <c r="D695" t="s">
        <v>1703</v>
      </c>
    </row>
    <row r="698" spans="1:4" x14ac:dyDescent="0.25">
      <c r="A698" t="s">
        <v>1706</v>
      </c>
      <c r="B698" t="s">
        <v>1707</v>
      </c>
      <c r="C698" t="s">
        <v>1182</v>
      </c>
      <c r="D698" t="s">
        <v>1703</v>
      </c>
    </row>
    <row r="701" spans="1:4" x14ac:dyDescent="0.25">
      <c r="A701" t="s">
        <v>1708</v>
      </c>
      <c r="B701" t="s">
        <v>1709</v>
      </c>
      <c r="C701" t="s">
        <v>1182</v>
      </c>
      <c r="D701" t="s">
        <v>1710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PROCESSOS TRA</vt:lpstr>
      <vt:lpstr>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GIOVANNI NOGUEIRA GLINS</cp:lastModifiedBy>
  <dcterms:created xsi:type="dcterms:W3CDTF">2025-05-16T14:13:49Z</dcterms:created>
  <dcterms:modified xsi:type="dcterms:W3CDTF">2025-05-21T14:59:21Z</dcterms:modified>
</cp:coreProperties>
</file>